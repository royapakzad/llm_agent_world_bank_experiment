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فیلدها" sheetId="1" state="visible" r:id="rId3"/>
    <sheet name="خلاصه" sheetId="2" state="visible" r:id="rId4"/>
    <sheet name="روش‌شناسی" sheetId="3" state="visible" r:id="rId5"/>
  </sheets>
  <definedNames>
    <definedName function="false" hidden="true" localSheetId="0" name="_xlnm._FilterDatabase" vbProcedure="false">فیلدها!$A$1:$I$109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<sst xmlns="http://schemas.openxmlformats.org/spreadsheetml/2006/main" count="839" uniqueCount="254">
  <si>
    <t xml:space="preserve">ردیف</t>
  </si>
  <si>
    <t xml:space="preserve">بخش</t>
  </si>
  <si>
    <t xml:space="preserve">نام فیلد</t>
  </si>
  <si>
    <t xml:space="preserve">مقدار فعلی در پورتال</t>
  </si>
  <si>
    <t xml:space="preserve">مقدار پیشنهادی</t>
  </si>
  <si>
    <t xml:space="preserve">منبع (نشانی اینترنتی)</t>
  </si>
  <si>
    <t xml:space="preserve">تاریخ منبع</t>
  </si>
  <si>
    <t xml:space="preserve">سطح اطمینان</t>
  </si>
  <si>
    <t xml:space="preserve">توضیحات</t>
  </si>
  <si>
    <t xml:space="preserve">۱. اطلاعات کشور (Country Information)</t>
  </si>
  <si>
    <t xml:space="preserve">Country name</t>
  </si>
  <si>
    <t xml:space="preserve">مشاهده‌نشده — صفحه پورتال از محیط این نشست قابل بارگذاری نبود</t>
  </si>
  <si>
    <t xml:space="preserve">Iran, Islamic Rep.</t>
  </si>
  <si>
    <t xml:space="preserve">https://datahelpdesk.worldbank.org/knowledgebase/articles/906519-world-bank-country-and-lending-groups</t>
  </si>
  <si>
    <t xml:space="preserve">2026-07-01</t>
  </si>
  <si>
    <t xml:space="preserve">زیاد</t>
  </si>
  <si>
    <t xml:space="preserve">نام استاندارد بانک جهانی. صرفاً برای کامل بودن فهرست آمده است.</t>
  </si>
  <si>
    <t xml:space="preserve">Population</t>
  </si>
  <si>
    <t xml:space="preserve">92,417,681 (2025)</t>
  </si>
  <si>
    <t xml:space="preserve">https://api.worldbank.org/v2/country/IRN/indicator/SP.POP.TOTL?format=json&amp;mrv=3</t>
  </si>
  <si>
    <t xml:space="preserve">2026-07-13</t>
  </si>
  <si>
    <t xml:space="preserve">WDI، شاخص SP.POP.TOTL. داده ۲۰۱۹ گزارش GPPD قدیمی است.</t>
  </si>
  <si>
    <t xml:space="preserve">Year</t>
  </si>
  <si>
    <t xml:space="preserve">2025</t>
  </si>
  <si>
    <t xml:space="preserve">WDI (همان منابع ردیف‌های بالا و پایین)</t>
  </si>
  <si>
    <t xml:space="preserve">سال مرجع داده‌های کلان پیشنهادی.</t>
  </si>
  <si>
    <t xml:space="preserve">Base currency</t>
  </si>
  <si>
    <t xml:space="preserve">Iranian rial (IRR). Note: Redenomination Law (Nov 2025) removes four zeros — 10,000 current rials = 1 new rial (= 100 girans); dual-denomination transition from 21 Mar 2026 for up to 3 years.</t>
  </si>
  <si>
    <t xml:space="preserve">https://caspianpost.com/iran/iran-launches-nationwide-currency-denomination</t>
  </si>
  <si>
    <t xml:space="preserve">2025-12-24</t>
  </si>
  <si>
    <t xml:space="preserve">متوسط</t>
  </si>
  <si>
    <t xml:space="preserve">قانون حذف چهار صفر: تصویب مجلس ۱۱ آبان ۱۴۰۴، تأیید شورای نگهبان، ابلاغ رئیس‌جمهور ۱ آذر ۱۴۰۴ (طبق منبع). بهتر است با متن رسمی قانون در rc.majlis.ir تأیید شود.</t>
  </si>
  <si>
    <t xml:space="preserve">Conversion rate</t>
  </si>
  <si>
    <t xml:space="preserve">حل‌نشده (Unresolved)</t>
  </si>
  <si>
    <t xml:space="preserve">—</t>
  </si>
  <si>
    <t xml:space="preserve">ایران چند نرخ ارز رسمی/بازار دارد و نرخ WDI (PA.NUS.FCRF) در این نشست دریافت نشد. پیشنهاد: تیم GPPD نرخ رسمی را از WDI یا IMF IFS بردارد و نوع نرخ را ذکر کند.</t>
  </si>
  <si>
    <t xml:space="preserve">Income Level</t>
  </si>
  <si>
    <t xml:space="preserve">Upper middle income (FY2027 classification)</t>
  </si>
  <si>
    <t xml:space="preserve">آستانه FY27 برای درآمد متوسط بالا: ۴٬۶۳۶ تا ۱۴٬۳۷۵ دلار. GNI سرانه ایران ۴٬۶۵۰ دلار است، یعنی بسیار نزدیک به مرز پایین.</t>
  </si>
  <si>
    <t xml:space="preserve">Gross National Income (in USD)</t>
  </si>
  <si>
    <t xml:space="preserve">USD 429,443,013,148 (2025, Atlas method)</t>
  </si>
  <si>
    <t xml:space="preserve">https://api.worldbank.org/v2/country/IRN/indicator/NY.GNP.ATLS.CD?format=json&amp;mrv=3</t>
  </si>
  <si>
    <t xml:space="preserve">WDI، شاخص NY.GNP.ATLS.CD.</t>
  </si>
  <si>
    <t xml:space="preserve">Gross National Income Per Capita</t>
  </si>
  <si>
    <t xml:space="preserve">USD 4,650 (2025, Atlas method)</t>
  </si>
  <si>
    <t xml:space="preserve">https://api.worldbank.org/v2/country/IRN/indicator/NY.GNP.PCAP.CD?format=json&amp;mrv=3</t>
  </si>
  <si>
    <t xml:space="preserve">مقدار ۲۰۲۴: ۵٬۱۳۰ دلار.</t>
  </si>
  <si>
    <t xml:space="preserve">Gross domestic product (in USD)</t>
  </si>
  <si>
    <t xml:space="preserve">USD 362,682,115,433 (2025, current US$)</t>
  </si>
  <si>
    <t xml:space="preserve">https://api.worldbank.org/v2/country/IRN/indicator/NY.GDP.MKTP.CD?format=json&amp;mrv=3</t>
  </si>
  <si>
    <t xml:space="preserve">مقدار ۲۰۲۴: ۴۷۵٫۳ میلیارد دلار. کاهش ناشی از افت ارزش ریال است.</t>
  </si>
  <si>
    <t xml:space="preserve">% of GDP as Public Procurement Expenditure</t>
  </si>
  <si>
    <t xml:space="preserve">هیچ برآورد رسمی و منتشرشده‌ای پیدا نشد. از جایگزین‌هایی مانند سهم مصرف دولت استفاده نکنید.</t>
  </si>
  <si>
    <t xml:space="preserve">Membership in International Organizations</t>
  </si>
  <si>
    <t xml:space="preserve">UN; World Bank Group; IMF; OPEC; OIC; ECO; D-8; SCO (full member since Jul 2023); BRICS (member since 1 Jan 2024). WTO: observer (applied 1996; working party est. 2005; not a member). Not a party to WTO GPA. FTA with Eurasian Economic Union in force since 15 May 2025.</t>
  </si>
  <si>
    <t xml:space="preserve">https://en.wikipedia.org/wiki/Iran_and_the_World_Trade_Organization ; https://www.iranintl.com/en/202401020918 ; https://eec.eaeunion.org/en/news/eaes-iran-vstupilo-v-silu-polnoformatnoe-soglashenie-o-svobodnoy-torgovle-/</t>
  </si>
  <si>
    <t xml:space="preserve">2024–2025</t>
  </si>
  <si>
    <t xml:space="preserve">برای وضعیت WTO، صفحه رسمی https://www.wto.org/english/thewto_e/acc_e/a1_iran_e.htm مرجع اصلی است (robots.txt اجازه دریافت نداد). عضویت در SCO بر پایه دانش عمومی است و منبع جداگانه‌ای برای آن باز نشد.</t>
  </si>
  <si>
    <t xml:space="preserve">World Bank funding page</t>
  </si>
  <si>
    <t xml:space="preserve">https://www.worldbank.org/ext/en/country/iran</t>
  </si>
  <si>
    <t xml:space="preserve">2026-09-02</t>
  </si>
  <si>
    <t xml:space="preserve">برنامه وام‌دهی فعالی وجود ندارد و آخرین پروژه IBRD در ۲۰۱۲ بسته شد. پروژه‌های اضطراری کووید (۵۰ + ۹۰ میلیون دلار، ۲۰۲۰–۲۰۲۱) از طریق WHO اجرا شدند.</t>
  </si>
  <si>
    <t xml:space="preserve">۲. نهاد تدارکات و قانون (PPA &amp; Procurement Law)</t>
  </si>
  <si>
    <t xml:space="preserve">Public Procurement Agency name</t>
  </si>
  <si>
    <t xml:space="preserve">No single central PPA identified. Functions are split: Ministry of Economic Affairs and Finance (MEFA) — announces annual transaction thresholds; Plan and Budget Organization (PBO) — National Tender Information Database (Law on Tenders Art. 23) and technical/works regulations; e-Commerce Development Center (Ministry of Industry, Mine and Trade) — operates SETAD.</t>
  </si>
  <si>
    <t xml:space="preserve">https://www.unodc.org/documents/corruption/WG-Prevention/Art_9_Public_procurement/Iran.pdf ; https://rc.majlis.ir/fa/law/show/99652</t>
  </si>
  <si>
    <t xml:space="preserve">کم</t>
  </si>
  <si>
    <t xml:space="preserve">این ترکیب نهادی باید با مقام رسمی ایرانی یا متن قانون تأیید شود. طبق گزارش ۲۰۲۰ بانک جهانی، ایران در دوره جمع‌آوری داده ۲۰۱۹ هیچ رابطی معرفی نکرده بود.</t>
  </si>
  <si>
    <t xml:space="preserve">Public Procurement Agency website</t>
  </si>
  <si>
    <t xml:space="preserve">چون نهاد واحدی وجود ندارد، نشانی واحدی هم نیست. نشانی‌های مرتبط: setadiran.ir (سامانه ستاد) و iets.mporg.ir (پایگاه ملی اطلاع‌رسانی مناقصات، تأییدنشده).</t>
  </si>
  <si>
    <t xml:space="preserve">Is PPA a Central Purchasing Body (CPB)?</t>
  </si>
  <si>
    <t xml:space="preserve">Number of certified contracting officers</t>
  </si>
  <si>
    <t xml:space="preserve">Contracting officers certification program</t>
  </si>
  <si>
    <t xml:space="preserve">Central Purchasing Body name</t>
  </si>
  <si>
    <t xml:space="preserve">هیچ نهاد خرید متمرکز ملی شناسایی نشد.</t>
  </si>
  <si>
    <t xml:space="preserve">Sectors covered by the CPB</t>
  </si>
  <si>
    <t xml:space="preserve">Name of relevant ministry</t>
  </si>
  <si>
    <t xml:space="preserve">بستگی به ردیف «PPA name» دارد.</t>
  </si>
  <si>
    <t xml:space="preserve">Region covered by the CPB</t>
  </si>
  <si>
    <t xml:space="preserve">Central Purchasing Body website</t>
  </si>
  <si>
    <t xml:space="preserve">Public Procurement Law</t>
  </si>
  <si>
    <t xml:space="preserve">Law on Holding Tenders (Qanun-e Bargozari-ye Monaqesat), approved by Majlis 3 Bahman 1383 (22 Jan 2005), with implementing regulations. Related: Public Accounting Law (1987); Law on Permanent Provisions of Development Plans (2017), Art. 50 — mandatory use of SETAD; Law on Maximum Utilization of Domestic Production and Service Capacity (2019).</t>
  </si>
  <si>
    <t xml:space="preserve">https://rc.majlis.ir/fa/law/show/99652 ; https://www.unodc.org/documents/corruption/WG-Prevention/Art_9_Public_procurement/Iran.pdf</t>
  </si>
  <si>
    <t xml:space="preserve">2005 (قانون)</t>
  </si>
  <si>
    <t xml:space="preserve">وجود و عنوان قانون را سند رسمی ارسالی ایران به UNODC تأیید می‌کند. تاریخ ابلاغ ۱۳۸۳/۱۱/۲۶ است.</t>
  </si>
  <si>
    <t xml:space="preserve">Total Cost of Ownership (TCO) law clause</t>
  </si>
  <si>
    <t xml:space="preserve">در این نشست بندی درباره این موضوع شناسایی نشد.</t>
  </si>
  <si>
    <t xml:space="preserve">Life Cycle Costing (LCC) law clause</t>
  </si>
  <si>
    <t xml:space="preserve">Value for Money (VfM) law clause</t>
  </si>
  <si>
    <t xml:space="preserve">MEAT law clause</t>
  </si>
  <si>
    <t xml:space="preserve">Partial — Law allows quality (technical-commercial) evaluation, with award to the 'lowest adjusted (evaluated) price' among technically qualified bids (Arts. 19–20).</t>
  </si>
  <si>
    <t xml:space="preserve">https://rc.majlis.ir/fa/law/show/99652</t>
  </si>
  <si>
    <t xml:space="preserve">2005</t>
  </si>
  <si>
    <t xml:space="preserve">متن رسمی قانون (سایت مرکز پژوهش‌های مجلس) از این نشست قابل باز شدن نبود؛ مقدار بر اساس مفاد شناخته‌شده قانون است و پیش از ارسال باید با متن رسمی تطبیق داده شود.</t>
  </si>
  <si>
    <t xml:space="preserve">Sustainability law clause</t>
  </si>
  <si>
    <t xml:space="preserve">SME awards clause</t>
  </si>
  <si>
    <t xml:space="preserve">Bid Securities and/or Bid Declaration clause</t>
  </si>
  <si>
    <t xml:space="preserve">Yes — bid security required; amounts set by the Government Transactions Guarantee Regulation (Council of Ministers, 1394/2015).</t>
  </si>
  <si>
    <t xml:space="preserve">2015</t>
  </si>
  <si>
    <t xml:space="preserve">متن رسمی قانون (سایت مرکز پژوهش‌های مجلس) از این نشست قابل باز شدن نبود؛ مقدار بر اساس مفاد شناخته‌شده قانون است و پیش از ارسال باید با متن رسمی تطبیق داده شود. نشانی رسمی آیین‌نامه تضمین هم پیدا نشد.</t>
  </si>
  <si>
    <t xml:space="preserve">Public Bid Openings clause</t>
  </si>
  <si>
    <t xml:space="preserve">Yes — bids are opened in a session of the Tender Committee, and bidders or their representatives may attend (Art. 18).</t>
  </si>
  <si>
    <t xml:space="preserve">Domestic preference clause</t>
  </si>
  <si>
    <t xml:space="preserve">Yes — Law on Maximum Utilization of Domestic Production and Service Capacity and Protection of Iranian Goods (2019): executive bodies must use domestic goods/services where domestic capacity exists; foreign procurement is restricted.</t>
  </si>
  <si>
    <t xml:space="preserve">https://rc.majlis.ir/fa/law/show/1148732</t>
  </si>
  <si>
    <t xml:space="preserve">2019</t>
  </si>
  <si>
    <t xml:space="preserve">عنوان و شناسه قانون از نتایج جستجو تأیید شد. متن کامل آن باز نشد.</t>
  </si>
  <si>
    <t xml:space="preserve">Complaint resolution period clause</t>
  </si>
  <si>
    <t xml:space="preserve">Two-tier: complaint to the head of the procuring entity, who must respond within 15 working days; then appeal to the Tender Complaints Review Board (Art. 7), which decides within about 1 month (Art. 25).</t>
  </si>
  <si>
    <t xml:space="preserve">Standstill Period — Goods</t>
  </si>
  <si>
    <t xml:space="preserve">در قانون مناقصات دوره توقف (standstill) صریحی شناسایی نشد. تأیید لازم است.</t>
  </si>
  <si>
    <t xml:space="preserve">Standstill Period — Works</t>
  </si>
  <si>
    <t xml:space="preserve">همان توضیح ردیف بالا.</t>
  </si>
  <si>
    <t xml:space="preserve">Standstill Period — Services</t>
  </si>
  <si>
    <t xml:space="preserve">Bid Validity Period — Goods</t>
  </si>
  <si>
    <t xml:space="preserve">مدت اعتبار پیشنهاد در اسناد مناقصه تعیین می‌شود. حداقل قانونی شناسایی نشد.</t>
  </si>
  <si>
    <t xml:space="preserve">Bid Validity Period — Works</t>
  </si>
  <si>
    <t xml:space="preserve">Bid Validity Period — Services</t>
  </si>
  <si>
    <t xml:space="preserve">Contract Award Disclosure Threshold clause</t>
  </si>
  <si>
    <t xml:space="preserve">Tender results (large transactions) must be published in the National Tender Information Database (Art. 23). Under Art. 50 of the Permanent Provisions Law, small, medium and large transactions must all be conducted through SETAD.</t>
  </si>
  <si>
    <t xml:space="preserve">https://rc.majlis.ir/fa/law/show/99652 ; https://rc.majlis.ir/fa/law/show/1014070 ; https://www.lexology.com/library/detail.aspx?g=43033d16-7421-41b9-815d-91bf91b09b2b</t>
  </si>
  <si>
    <t xml:space="preserve">2005 / 2017</t>
  </si>
  <si>
    <t xml:space="preserve">Tender threshold value</t>
  </si>
  <si>
    <t xml:space="preserve">Formal tender required for 'large' transactions: above IRR 42,300,000,000 (current rials) for FY1405 (21 Mar 2026 – 20 Mar 2027). This equals 10× the small-transaction ceiling (Law on Tenders, Art. 3).</t>
  </si>
  <si>
    <t xml:space="preserve">https://www.tasnimnews.ir/fa/news/1405/03/12/3606402/ ; https://www.irib-news.ir/fa/news/5812227/</t>
  </si>
  <si>
    <t xml:space="preserve">2026-06-02</t>
  </si>
  <si>
    <t xml:space="preserve">سقف معاملات کوچک (۴۲۳ میلیون تومان) از عنوان خبرهای تسنیم و صداوسیما گرفته شده است. سقف متوسط با قاعده ۱۰ برابرِ ماده ۳ محاسبه شد. متن خبر در این نشست باز نشد. معادل به ریال جدید: ۴٬۲۳۰٬۰۰۰.</t>
  </si>
  <si>
    <t xml:space="preserve">Days of advertisement — Goods</t>
  </si>
  <si>
    <t xml:space="preserve">Minimum 10 days from the last advertisement to the bid submission deadline for national tenders, and 30 days for international tenders (Art. 13).</t>
  </si>
  <si>
    <t xml:space="preserve">Days of advertisement — Works</t>
  </si>
  <si>
    <t xml:space="preserve">Same as goods: 10 days national / 30 days international (Art. 13).</t>
  </si>
  <si>
    <t xml:space="preserve">Days of advertisement — Services</t>
  </si>
  <si>
    <t xml:space="preserve">Direct contract award threshold — Goods</t>
  </si>
  <si>
    <t xml:space="preserve">Up to IRR 4,230,000,000 (current rials) for FY1405 ('small transactions', direct purchase by the procurement officer). Medium transactions (up to IRR 42.3 bn) require written quotations.</t>
  </si>
  <si>
    <t xml:space="preserve">https://www.tasnimnews.ir/fa/news/1405/03/12/3606402/</t>
  </si>
  <si>
    <t xml:space="preserve">مانند ردیف آستانه مناقصه.</t>
  </si>
  <si>
    <t xml:space="preserve">Direct contract award threshold — Works</t>
  </si>
  <si>
    <t xml:space="preserve">Same as goods: IRR 4,230,000,000 (FY1405).</t>
  </si>
  <si>
    <t xml:space="preserve">نصاب‌ها برای کالا، کار و خدمات یکسان است.</t>
  </si>
  <si>
    <t xml:space="preserve">Direct contract award threshold — Services</t>
  </si>
  <si>
    <t xml:space="preserve">۳. تدارکات الکترونیکی (eProcurement)</t>
  </si>
  <si>
    <t xml:space="preserve">eProcurement system name</t>
  </si>
  <si>
    <t xml:space="preserve">Government Electronic Procurement System — SETAD (Samaneh-ye Tadarokat-e Elektroniki-ye Dowlat)</t>
  </si>
  <si>
    <t xml:space="preserve">https://www.unodc.org/documents/corruption/WG-Prevention/Art_9_Public_procurement/Iran.pdf</t>
  </si>
  <si>
    <t xml:space="preserve">سند رسمی ایران به UNODC.</t>
  </si>
  <si>
    <t xml:space="preserve">eProcurement system website</t>
  </si>
  <si>
    <t xml:space="preserve">https://setadiran.ir</t>
  </si>
  <si>
    <t xml:space="preserve">جستجوی عمومی آگهی‌ها: https://eproc.setadiran.ir</t>
  </si>
  <si>
    <t xml:space="preserve">eProcurement system launch date</t>
  </si>
  <si>
    <t xml:space="preserve">c. 2010–2011 (pilot); mandatory for all executive bodies under Art. 50 of the Law on Permanent Provisions of Development Plans (2017)</t>
  </si>
  <si>
    <t xml:space="preserve">https://grokipedia.com/page/setad-iranian-e-procurement-system ; https://rc.majlis.ir/fa/law/show/1014070</t>
  </si>
  <si>
    <t xml:space="preserve">سال راه‌اندازی از منبعی غیررسمی آمده است. بخش الزام‌آور شدن سامانه اطمینان بیشتری دارد.</t>
  </si>
  <si>
    <t xml:space="preserve">eProcurement functionalities supported</t>
  </si>
  <si>
    <t xml:space="preserve">Supplier/buyer registration; e-tendering (open/limited); e-auction; price inquiry/RFQ; reverse auction; online bid submission; contract registration and amendments in a contract database.</t>
  </si>
  <si>
    <t xml:space="preserve">https://www.unodc.org/documents/corruption/WG-Prevention/Art_9_Public_procurement/Iran.pdf ; https://grokipedia.com/page/setad-iranian-e-procurement-system</t>
  </si>
  <si>
    <t xml:space="preserve">eSignature functionalities</t>
  </si>
  <si>
    <t xml:space="preserve">Yes — digital certificate / e-signature token required for bidders</t>
  </si>
  <si>
    <t xml:space="preserve">https://www.lexology.com/library/detail.aspx?g=43033d16-7421-41b9-815d-91bf91b09b2b ; https://grokipedia.com/page/setad-iranian-e-procurement-system</t>
  </si>
  <si>
    <t xml:space="preserve">eProcurement System used by the World Bank</t>
  </si>
  <si>
    <t xml:space="preserve">No</t>
  </si>
  <si>
    <t xml:space="preserve">بانک جهانی در ایران برنامه وام‌دهی فعالی ندارد.</t>
  </si>
  <si>
    <t xml:space="preserve">World Bank procurement method used for certification</t>
  </si>
  <si>
    <t xml:space="preserve">Not applicable</t>
  </si>
  <si>
    <t xml:space="preserve">eProcurement system supported by the World Bank</t>
  </si>
  <si>
    <t xml:space="preserve">هیچ شواهدی از حمایت بانک جهانی پیدا نشد.</t>
  </si>
  <si>
    <t xml:space="preserve">Supported language(s)</t>
  </si>
  <si>
    <t xml:space="preserve">Persian (Farsi) only</t>
  </si>
  <si>
    <t xml:space="preserve">https://www.selltostate.com/blog/setad-iran-guide/</t>
  </si>
  <si>
    <t xml:space="preserve">2026-04-13</t>
  </si>
  <si>
    <t xml:space="preserve">منبع تجاری است.</t>
  </si>
  <si>
    <t xml:space="preserve">Supported currencies</t>
  </si>
  <si>
    <t xml:space="preserve">Iranian rial (IRR)</t>
  </si>
  <si>
    <t xml:space="preserve">Applicable charges</t>
  </si>
  <si>
    <t xml:space="preserve">برای ثبت‌نام و توکن هزینه‌ای دریافت می‌شود، اما مبلغ آن تأیید نشد.</t>
  </si>
  <si>
    <t xml:space="preserve">Custom vs COTS vs Open Source</t>
  </si>
  <si>
    <t xml:space="preserve">احتمالاً سامانه به‌صورت داخلی توسعه یافته است، اما تأیید نشد.</t>
  </si>
  <si>
    <t xml:space="preserve">Business model for eProcurement</t>
  </si>
  <si>
    <t xml:space="preserve">OCDS publication website</t>
  </si>
  <si>
    <t xml:space="preserve">None identified</t>
  </si>
  <si>
    <t xml:space="preserve">هیچ انتشار داده‌ای مطابق استاندارد OCDS پیدا نشد.</t>
  </si>
  <si>
    <t xml:space="preserve">Tender documents are downloadable</t>
  </si>
  <si>
    <t xml:space="preserve">Yes — for registered suppliers (with e-signature token); notices are publicly searchable</t>
  </si>
  <si>
    <t xml:space="preserve">eProcurement assessments</t>
  </si>
  <si>
    <t xml:space="preserve">هیچ ارزیابی MAPS یا PEFA-PP منتشرشده‌ای برای ایران پیدا نشد.</t>
  </si>
  <si>
    <t xml:space="preserve">% of value spent through eProcurement</t>
  </si>
  <si>
    <t xml:space="preserve">% of transactions through eProcurement</t>
  </si>
  <si>
    <t xml:space="preserve">طبق ماده ۵۰، هدف ۱۰۰٪ است، اما آمار واقعی پیدا نشد.</t>
  </si>
  <si>
    <t xml:space="preserve">Number of professionals certified on eProcurement</t>
  </si>
  <si>
    <t xml:space="preserve">Estimated annual savings through eProcurement (USD)</t>
  </si>
  <si>
    <t xml:space="preserve">% of savings over total cost estimate</t>
  </si>
  <si>
    <t xml:space="preserve">Savings calculation methodology</t>
  </si>
  <si>
    <t xml:space="preserve">۴. ارزش در برابر پول، رقابت و شفافیت (VfM, Competition &amp; Transparency)</t>
  </si>
  <si>
    <t xml:space="preserve">Common spend taxonomy used</t>
  </si>
  <si>
    <t xml:space="preserve">به نظر می‌رسد سامانه ستاد از طبقه‌بندی ملی کالا (ایران‌کد) استفاده می‌کند، اما تأیید نشد.</t>
  </si>
  <si>
    <t xml:space="preserve">Number of annual tenders</t>
  </si>
  <si>
    <t xml:space="preserve">سرنخ (تأییدنشده، منبع غیررسمی): برای سال ۱۴۰۲ بیش از ۲۱۴ هزار خرید کوچک، ۱۳۸ هزار خرید متوسط، ۴۴ هزار مزایده و ۴۲ هزار حراج معکوس در ستاد گزارش شده است (https://grokipedia.com/page/setad-iranian-e-procurement-system). آمار رسمی را باید از مرکز توسعه تجارت الکترونیکی درخواست کرد.</t>
  </si>
  <si>
    <t xml:space="preserve">Value of annual tenders (USD)</t>
  </si>
  <si>
    <t xml:space="preserve">Number of annual contracts</t>
  </si>
  <si>
    <t xml:space="preserve">Value of annual contracts (USD)</t>
  </si>
  <si>
    <t xml:space="preserve">Number of contract awards — goods</t>
  </si>
  <si>
    <t xml:space="preserve">Value of contract awards — goods (USD)</t>
  </si>
  <si>
    <t xml:space="preserve">Number of contract awards — works</t>
  </si>
  <si>
    <t xml:space="preserve">Value of contract awards — works (USD)</t>
  </si>
  <si>
    <t xml:space="preserve">Number of contract awards — services</t>
  </si>
  <si>
    <t xml:space="preserve">Value of contract awards — services (USD)</t>
  </si>
  <si>
    <t xml:space="preserve">Number of domestic contract awards</t>
  </si>
  <si>
    <t xml:space="preserve">Value of domestic contract awards</t>
  </si>
  <si>
    <t xml:space="preserve">Number of international contract awards</t>
  </si>
  <si>
    <t xml:space="preserve">Value of international contract awards</t>
  </si>
  <si>
    <t xml:space="preserve">Number of open contract awards</t>
  </si>
  <si>
    <t xml:space="preserve">Value of open contract awards</t>
  </si>
  <si>
    <t xml:space="preserve">Number of direct contract awards</t>
  </si>
  <si>
    <t xml:space="preserve">Value of direct contract awards</t>
  </si>
  <si>
    <t xml:space="preserve">Number of awards to SMEs</t>
  </si>
  <si>
    <t xml:space="preserve">Value of awards to SMEs (USD)</t>
  </si>
  <si>
    <t xml:space="preserve">Number of awards under framework agreements</t>
  </si>
  <si>
    <t xml:space="preserve">Value of awards under framework agreements (USD)</t>
  </si>
  <si>
    <t xml:space="preserve">Number of awards evaluated on MEAT</t>
  </si>
  <si>
    <t xml:space="preserve">Value of awards evaluated on MEAT (USD)</t>
  </si>
  <si>
    <t xml:space="preserve">Number of awards evaluated on Lowest Price</t>
  </si>
  <si>
    <t xml:space="preserve">Value of awards evaluated on Lowest Price (USD)</t>
  </si>
  <si>
    <t xml:space="preserve">Avg. bidders per tender — goods</t>
  </si>
  <si>
    <t xml:space="preserve">Avg. bidders per tender — works</t>
  </si>
  <si>
    <t xml:space="preserve">Avg. bidders per tender — services</t>
  </si>
  <si>
    <t xml:space="preserve">Number of accepted/justified complaints</t>
  </si>
  <si>
    <t xml:space="preserve">Number of rejected/unjustified complaints</t>
  </si>
  <si>
    <t xml:space="preserve">Number of complaints under investigation</t>
  </si>
  <si>
    <t xml:space="preserve">Complaint resolution period (avg. days)</t>
  </si>
  <si>
    <t xml:space="preserve">مهلت‌های قانونی در بخش ۲ آمده است. میانگین واقعی پیدا نشد.</t>
  </si>
  <si>
    <t xml:space="preserve">Number of cancelled procurement procedures</t>
  </si>
  <si>
    <t xml:space="preserve">Published public procurement annual reports</t>
  </si>
  <si>
    <t xml:space="preserve">Procurement statistics</t>
  </si>
  <si>
    <t xml:space="preserve">۵. شاخص‌های چرخه تدارکات (Procurement Cycle Metrics)</t>
  </si>
  <si>
    <t xml:space="preserve">Days from advertisement to contract award</t>
  </si>
  <si>
    <t xml:space="preserve">Average time for bid evaluation</t>
  </si>
  <si>
    <t xml:space="preserve">خلاصه وضعیت فیلدها — نمایه ایران در GPPD</t>
  </si>
  <si>
    <t xml:space="preserve">شاخص</t>
  </si>
  <si>
    <t xml:space="preserve">تعداد</t>
  </si>
  <si>
    <t xml:space="preserve">کل فیلدهای بررسی‌شده</t>
  </si>
  <si>
    <t xml:space="preserve">مقدار پیشنهادی با اطمینان زیاد</t>
  </si>
  <si>
    <t xml:space="preserve">مقدار پیشنهادی با اطمینان متوسط</t>
  </si>
  <si>
    <t xml:space="preserve">مقدار پیشنهادی با اطمینان کم</t>
  </si>
  <si>
    <t xml:space="preserve">حل‌نشده</t>
  </si>
  <si>
    <t xml:space="preserve">سهم فیلدهای دارای مقدار پیشنهادی</t>
  </si>
  <si>
    <t xml:space="preserve">بر اساس بخش</t>
  </si>
  <si>
    <t xml:space="preserve">کل</t>
  </si>
  <si>
    <t xml:space="preserve">روش‌شناسی و محدودیت‌ها (تهیه‌شده در ۲۰۲۶-۰۹-۲۹)</t>
  </si>
  <si>
    <t xml:space="preserve">۱. پورتال GPPD با جاوااسکریپت بارگذاری می‌شود و دامنه آن از محیط این نشست در دسترس نبود. به همین دلیل ستون «مقدار فعلی در پورتال» برای همه ردیف‌ها «مشاهده‌نشده» است و باید با مشاهده مستقیم صفحه تکمیل شود.</t>
  </si>
  <si>
    <t xml:space="preserve">۲. فهرست فیلدها از ساختار رسمی عناصر داده GPPD گرفته شده است: گزارش جمع‌آوری داده GPPD، بانک جهانی، ۲۰۲۰: https://documents1.worldbank.org/curated/en/384951635848552076/txt/Global-Public-Procurement-Database-GPPD-Data-Collection-Report.txt</t>
  </si>
  <si>
    <t xml:space="preserve">۳. طبق همان گزارش، برای ایران فقط ۲۴ عنصر داده جمع‌آوری شده است. این داده‌ها از پژوهش میزی در بازه ژوئیه تا دسامبر ۲۰۱۹ به دست آمده‌اند و ایران رابطی معرفی نکرده و به پرسشنامه‌های فاز ۱ و ۲ پاسخ نداده است. پس احتمالاً بیشتر فیلدها N/A یا قدیمی‌اند.</t>
  </si>
  <si>
    <t xml:space="preserve">۴. بیشتر وب‌سایت‌های رسمی ایران (مانند rc.majlis.ir، setadiran.ir و ecommerce.gov.ir) از این نشست در دسترس نبودند. در ردیف‌هایی که به متن قانون استناد می‌کنند، این موضوع در ستون توضیحات آمده و سطح اطمینان کاهش یافته است.</t>
  </si>
  <si>
    <t xml:space="preserve">۵. سطح اطمینان «زیاد» یعنی منبع رسمی مستقیماً مشاهده شده است. «متوسط» یعنی منبع رسمی یا معتبر تأیید شده، ولی متن کامل در دسترس نبوده یا منبع ثانوی است. «کم» یعنی مقدار بر مفاد شناخته‌شده قانون یا منبع غیررسمی تکیه دارد و پیش از ارسال باید تأیید شود.</t>
  </si>
  <si>
    <t xml:space="preserve">۶. مبالغ ریالی به «ریال جاری» است. قانون حذف چهار صفر از ۱۴۰۵ اجرا می‌شود (۱۰٬۰۰۰ ریال جاری = ۱ ریال جدید).</t>
  </si>
  <si>
    <t xml:space="preserve">۷. برای ردیف‌های «حل‌نشده» هیچ مقداری حدس زده نشده است. پیشنهاد می‌شود تیم GPPD برای تکمیل آن‌ها با مرکز توسعه تجارت الکترونیکی، وزارت امور اقتصادی و دارایی و سازمان برنامه و بودجه تماس بگیرد.</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</si>
</sst>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i val="true"/>
      <sz val="10"/>
      <color rgb="FF808080"/>
      <name val="Arial"/>
      <family val="0"/>
      <charset val="1"/>
    </font>
    <font>
      <b val="true"/>
      <sz val="13"/>
      <name val="Arial"/>
      <family val="0"/>
      <charset val="1"/>
    </font>
    <font>
      <b val="true"/>
      <sz val="11"/>
      <name val="Arial"/>
      <family val="0"/>
      <charset val="1"/>
    </font>
    <font>
      <sz val="11"/>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F2CC"/>
        <bgColor rgb="FFFCE4D6"/>
      </patternFill>
    </fill>
    <fill>
      <patternFill patternType="solid">
        <fgColor rgb="FFEDEDED"/>
        <bgColor rgb="FFE2EFDA"/>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808080"/>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9"/>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4"/>
    <col collapsed="false" customWidth="true" hidden="false" outlineLevel="0" max="4" min="4" style="0" width="26"/>
    <col collapsed="false" customWidth="true" hidden="false" outlineLevel="0" max="5" min="5" style="0" width="60"/>
    <col collapsed="false" customWidth="true" hidden="false" outlineLevel="0" max="6" min="6" style="0" width="45"/>
    <col collapsed="false" customWidth="true" hidden="false" outlineLevel="0" max="7" min="7" style="0" width="13"/>
    <col collapsed="false" customWidth="true" hidden="false" outlineLevel="0" max="8" min="8" style="0" width="11"/>
    <col collapsed="false" customWidth="true" hidden="false" outlineLevel="0" max="9" min="9" style="0" width="60"/>
  </cols>
  <sheetData>
    <row r="1" customFormat="false" ht="26.85" hidden="false" customHeight="false" outlineLevel="0" collapsed="false">
      <c r="A1" s="1" t="s">
        <v>0</v>
      </c>
      <c r="B1" s="1" t="s">
        <v>1</v>
      </c>
      <c r="C1" s="1" t="s">
        <v>2</v>
      </c>
      <c r="D1" s="1" t="s">
        <v>3</v>
      </c>
      <c r="E1" s="1" t="s">
        <v>4</v>
      </c>
      <c r="F1" s="1" t="s">
        <v>5</v>
      </c>
      <c r="G1" s="1" t="s">
        <v>6</v>
      </c>
      <c r="H1" s="1" t="s">
        <v>7</v>
      </c>
      <c r="I1" s="1" t="s">
        <v>8</v>
      </c>
    </row>
    <row r="2" customFormat="false" ht="23.85" hidden="false" customHeight="false" outlineLevel="0" collapsed="false">
      <c r="A2" s="2" t="n">
        <v>1</v>
      </c>
      <c r="B2" s="2" t="s">
        <v>9</v>
      </c>
      <c r="C2" s="2" t="s">
        <v>10</v>
      </c>
      <c r="D2" s="2" t="s">
        <v>11</v>
      </c>
      <c r="E2" s="2" t="s">
        <v>12</v>
      </c>
      <c r="F2" s="2" t="s">
        <v>13</v>
      </c>
      <c r="G2" s="2" t="s">
        <v>14</v>
      </c>
      <c r="H2" s="3" t="s">
        <v>15</v>
      </c>
      <c r="I2" s="2" t="s">
        <v>16</v>
      </c>
    </row>
    <row r="3" customFormat="false" ht="23.85" hidden="false" customHeight="false" outlineLevel="0" collapsed="false">
      <c r="A3" s="2" t="n">
        <v>2</v>
      </c>
      <c r="B3" s="2" t="s">
        <v>9</v>
      </c>
      <c r="C3" s="2" t="s">
        <v>17</v>
      </c>
      <c r="D3" s="2" t="s">
        <v>11</v>
      </c>
      <c r="E3" s="2" t="s">
        <v>18</v>
      </c>
      <c r="F3" s="2" t="s">
        <v>19</v>
      </c>
      <c r="G3" s="2" t="s">
        <v>20</v>
      </c>
      <c r="H3" s="3" t="s">
        <v>15</v>
      </c>
      <c r="I3" s="2" t="s">
        <v>21</v>
      </c>
    </row>
    <row r="4" customFormat="false" ht="23.85" hidden="false" customHeight="false" outlineLevel="0" collapsed="false">
      <c r="A4" s="2" t="n">
        <v>3</v>
      </c>
      <c r="B4" s="2" t="s">
        <v>9</v>
      </c>
      <c r="C4" s="2" t="s">
        <v>22</v>
      </c>
      <c r="D4" s="2" t="s">
        <v>11</v>
      </c>
      <c r="E4" s="2" t="s">
        <v>23</v>
      </c>
      <c r="F4" s="2" t="s">
        <v>24</v>
      </c>
      <c r="G4" s="2" t="s">
        <v>20</v>
      </c>
      <c r="H4" s="3" t="s">
        <v>15</v>
      </c>
      <c r="I4" s="2" t="s">
        <v>25</v>
      </c>
    </row>
    <row r="5" customFormat="false" ht="35.05" hidden="false" customHeight="false" outlineLevel="0" collapsed="false">
      <c r="A5" s="2" t="n">
        <v>4</v>
      </c>
      <c r="B5" s="2" t="s">
        <v>9</v>
      </c>
      <c r="C5" s="2" t="s">
        <v>26</v>
      </c>
      <c r="D5" s="2" t="s">
        <v>11</v>
      </c>
      <c r="E5" s="2" t="s">
        <v>27</v>
      </c>
      <c r="F5" s="2" t="s">
        <v>28</v>
      </c>
      <c r="G5" s="2" t="s">
        <v>29</v>
      </c>
      <c r="H5" s="4" t="s">
        <v>30</v>
      </c>
      <c r="I5" s="2" t="s">
        <v>31</v>
      </c>
    </row>
    <row r="6" customFormat="false" ht="23.85" hidden="false" customHeight="false" outlineLevel="0" collapsed="false">
      <c r="A6" s="2" t="n">
        <v>5</v>
      </c>
      <c r="B6" s="2" t="s">
        <v>9</v>
      </c>
      <c r="C6" s="2" t="s">
        <v>32</v>
      </c>
      <c r="D6" s="2" t="s">
        <v>11</v>
      </c>
      <c r="E6" s="5" t="s">
        <v>33</v>
      </c>
      <c r="F6" s="2" t="s">
        <v>34</v>
      </c>
      <c r="G6" s="2" t="s">
        <v>34</v>
      </c>
      <c r="H6" s="2" t="s">
        <v>34</v>
      </c>
      <c r="I6" s="2" t="s">
        <v>35</v>
      </c>
    </row>
    <row r="7" customFormat="false" ht="23.85" hidden="false" customHeight="false" outlineLevel="0" collapsed="false">
      <c r="A7" s="2" t="n">
        <v>6</v>
      </c>
      <c r="B7" s="2" t="s">
        <v>9</v>
      </c>
      <c r="C7" s="2" t="s">
        <v>36</v>
      </c>
      <c r="D7" s="2" t="s">
        <v>11</v>
      </c>
      <c r="E7" s="2" t="s">
        <v>37</v>
      </c>
      <c r="F7" s="2" t="s">
        <v>13</v>
      </c>
      <c r="G7" s="2" t="s">
        <v>14</v>
      </c>
      <c r="H7" s="3" t="s">
        <v>15</v>
      </c>
      <c r="I7" s="2" t="s">
        <v>38</v>
      </c>
    </row>
    <row r="8" customFormat="false" ht="23.85" hidden="false" customHeight="false" outlineLevel="0" collapsed="false">
      <c r="A8" s="2" t="n">
        <v>7</v>
      </c>
      <c r="B8" s="2" t="s">
        <v>9</v>
      </c>
      <c r="C8" s="2" t="s">
        <v>39</v>
      </c>
      <c r="D8" s="2" t="s">
        <v>11</v>
      </c>
      <c r="E8" s="2" t="s">
        <v>40</v>
      </c>
      <c r="F8" s="2" t="s">
        <v>41</v>
      </c>
      <c r="G8" s="2" t="s">
        <v>20</v>
      </c>
      <c r="H8" s="3" t="s">
        <v>15</v>
      </c>
      <c r="I8" s="2" t="s">
        <v>42</v>
      </c>
    </row>
    <row r="9" customFormat="false" ht="23.85" hidden="false" customHeight="false" outlineLevel="0" collapsed="false">
      <c r="A9" s="2" t="n">
        <v>8</v>
      </c>
      <c r="B9" s="2" t="s">
        <v>9</v>
      </c>
      <c r="C9" s="2" t="s">
        <v>43</v>
      </c>
      <c r="D9" s="2" t="s">
        <v>11</v>
      </c>
      <c r="E9" s="2" t="s">
        <v>44</v>
      </c>
      <c r="F9" s="2" t="s">
        <v>45</v>
      </c>
      <c r="G9" s="2" t="s">
        <v>20</v>
      </c>
      <c r="H9" s="3" t="s">
        <v>15</v>
      </c>
      <c r="I9" s="2" t="s">
        <v>46</v>
      </c>
    </row>
    <row r="10" customFormat="false" ht="23.85" hidden="false" customHeight="false" outlineLevel="0" collapsed="false">
      <c r="A10" s="2" t="n">
        <v>9</v>
      </c>
      <c r="B10" s="2" t="s">
        <v>9</v>
      </c>
      <c r="C10" s="2" t="s">
        <v>47</v>
      </c>
      <c r="D10" s="2" t="s">
        <v>11</v>
      </c>
      <c r="E10" s="2" t="s">
        <v>48</v>
      </c>
      <c r="F10" s="2" t="s">
        <v>49</v>
      </c>
      <c r="G10" s="2" t="s">
        <v>20</v>
      </c>
      <c r="H10" s="3" t="s">
        <v>15</v>
      </c>
      <c r="I10" s="2" t="s">
        <v>50</v>
      </c>
    </row>
    <row r="11" customFormat="false" ht="23.85" hidden="false" customHeight="false" outlineLevel="0" collapsed="false">
      <c r="A11" s="2" t="n">
        <v>10</v>
      </c>
      <c r="B11" s="2" t="s">
        <v>9</v>
      </c>
      <c r="C11" s="2" t="s">
        <v>51</v>
      </c>
      <c r="D11" s="2" t="s">
        <v>11</v>
      </c>
      <c r="E11" s="5" t="s">
        <v>33</v>
      </c>
      <c r="F11" s="2" t="s">
        <v>34</v>
      </c>
      <c r="G11" s="2" t="s">
        <v>34</v>
      </c>
      <c r="H11" s="2" t="s">
        <v>34</v>
      </c>
      <c r="I11" s="2" t="s">
        <v>52</v>
      </c>
    </row>
    <row r="12" customFormat="false" ht="68.65" hidden="false" customHeight="false" outlineLevel="0" collapsed="false">
      <c r="A12" s="2" t="n">
        <v>11</v>
      </c>
      <c r="B12" s="2" t="s">
        <v>9</v>
      </c>
      <c r="C12" s="2" t="s">
        <v>53</v>
      </c>
      <c r="D12" s="2" t="s">
        <v>11</v>
      </c>
      <c r="E12" s="2" t="s">
        <v>54</v>
      </c>
      <c r="F12" s="2" t="s">
        <v>55</v>
      </c>
      <c r="G12" s="2" t="s">
        <v>56</v>
      </c>
      <c r="H12" s="4" t="s">
        <v>30</v>
      </c>
      <c r="I12" s="2" t="s">
        <v>57</v>
      </c>
    </row>
    <row r="13" customFormat="false" ht="23.85" hidden="false" customHeight="false" outlineLevel="0" collapsed="false">
      <c r="A13" s="2" t="n">
        <v>12</v>
      </c>
      <c r="B13" s="2" t="s">
        <v>9</v>
      </c>
      <c r="C13" s="2" t="s">
        <v>58</v>
      </c>
      <c r="D13" s="2" t="s">
        <v>11</v>
      </c>
      <c r="E13" s="2" t="s">
        <v>59</v>
      </c>
      <c r="F13" s="2" t="s">
        <v>59</v>
      </c>
      <c r="G13" s="2" t="s">
        <v>60</v>
      </c>
      <c r="H13" s="3" t="s">
        <v>15</v>
      </c>
      <c r="I13" s="2" t="s">
        <v>61</v>
      </c>
    </row>
    <row r="14" customFormat="false" ht="68.65" hidden="false" customHeight="false" outlineLevel="0" collapsed="false">
      <c r="A14" s="2" t="n">
        <v>13</v>
      </c>
      <c r="B14" s="2" t="s">
        <v>62</v>
      </c>
      <c r="C14" s="2" t="s">
        <v>63</v>
      </c>
      <c r="D14" s="2" t="s">
        <v>11</v>
      </c>
      <c r="E14" s="2" t="s">
        <v>64</v>
      </c>
      <c r="F14" s="2" t="s">
        <v>65</v>
      </c>
      <c r="G14" s="2" t="s">
        <v>34</v>
      </c>
      <c r="H14" s="6" t="s">
        <v>66</v>
      </c>
      <c r="I14" s="2" t="s">
        <v>67</v>
      </c>
    </row>
    <row r="15" customFormat="false" ht="23.85" hidden="false" customHeight="false" outlineLevel="0" collapsed="false">
      <c r="A15" s="2" t="n">
        <v>14</v>
      </c>
      <c r="B15" s="2" t="s">
        <v>62</v>
      </c>
      <c r="C15" s="2" t="s">
        <v>68</v>
      </c>
      <c r="D15" s="2" t="s">
        <v>11</v>
      </c>
      <c r="E15" s="5" t="s">
        <v>33</v>
      </c>
      <c r="F15" s="2" t="s">
        <v>34</v>
      </c>
      <c r="G15" s="2" t="s">
        <v>34</v>
      </c>
      <c r="H15" s="2" t="s">
        <v>34</v>
      </c>
      <c r="I15" s="2" t="s">
        <v>69</v>
      </c>
    </row>
    <row r="16" customFormat="false" ht="23.85" hidden="false" customHeight="false" outlineLevel="0" collapsed="false">
      <c r="A16" s="2" t="n">
        <v>15</v>
      </c>
      <c r="B16" s="2" t="s">
        <v>62</v>
      </c>
      <c r="C16" s="2" t="s">
        <v>70</v>
      </c>
      <c r="D16" s="2" t="s">
        <v>11</v>
      </c>
      <c r="E16" s="5" t="s">
        <v>33</v>
      </c>
      <c r="F16" s="2" t="s">
        <v>34</v>
      </c>
      <c r="G16" s="2" t="s">
        <v>34</v>
      </c>
      <c r="H16" s="2" t="s">
        <v>34</v>
      </c>
      <c r="I16" s="2"/>
    </row>
    <row r="17" customFormat="false" ht="23.85" hidden="false" customHeight="false" outlineLevel="0" collapsed="false">
      <c r="A17" s="2" t="n">
        <v>16</v>
      </c>
      <c r="B17" s="2" t="s">
        <v>62</v>
      </c>
      <c r="C17" s="2" t="s">
        <v>71</v>
      </c>
      <c r="D17" s="2" t="s">
        <v>11</v>
      </c>
      <c r="E17" s="5" t="s">
        <v>33</v>
      </c>
      <c r="F17" s="2" t="s">
        <v>34</v>
      </c>
      <c r="G17" s="2" t="s">
        <v>34</v>
      </c>
      <c r="H17" s="2" t="s">
        <v>34</v>
      </c>
      <c r="I17" s="2"/>
    </row>
    <row r="18" customFormat="false" ht="23.85" hidden="false" customHeight="false" outlineLevel="0" collapsed="false">
      <c r="A18" s="2" t="n">
        <v>17</v>
      </c>
      <c r="B18" s="2" t="s">
        <v>62</v>
      </c>
      <c r="C18" s="2" t="s">
        <v>72</v>
      </c>
      <c r="D18" s="2" t="s">
        <v>11</v>
      </c>
      <c r="E18" s="5" t="s">
        <v>33</v>
      </c>
      <c r="F18" s="2" t="s">
        <v>34</v>
      </c>
      <c r="G18" s="2" t="s">
        <v>34</v>
      </c>
      <c r="H18" s="2" t="s">
        <v>34</v>
      </c>
      <c r="I18" s="2"/>
    </row>
    <row r="19" customFormat="false" ht="23.85" hidden="false" customHeight="false" outlineLevel="0" collapsed="false">
      <c r="A19" s="2" t="n">
        <v>18</v>
      </c>
      <c r="B19" s="2" t="s">
        <v>62</v>
      </c>
      <c r="C19" s="2" t="s">
        <v>73</v>
      </c>
      <c r="D19" s="2" t="s">
        <v>11</v>
      </c>
      <c r="E19" s="5" t="s">
        <v>33</v>
      </c>
      <c r="F19" s="2" t="s">
        <v>34</v>
      </c>
      <c r="G19" s="2" t="s">
        <v>34</v>
      </c>
      <c r="H19" s="2" t="s">
        <v>34</v>
      </c>
      <c r="I19" s="2" t="s">
        <v>74</v>
      </c>
    </row>
    <row r="20" customFormat="false" ht="23.85" hidden="false" customHeight="false" outlineLevel="0" collapsed="false">
      <c r="A20" s="2" t="n">
        <v>19</v>
      </c>
      <c r="B20" s="2" t="s">
        <v>62</v>
      </c>
      <c r="C20" s="2" t="s">
        <v>75</v>
      </c>
      <c r="D20" s="2" t="s">
        <v>11</v>
      </c>
      <c r="E20" s="5" t="s">
        <v>33</v>
      </c>
      <c r="F20" s="2" t="s">
        <v>34</v>
      </c>
      <c r="G20" s="2" t="s">
        <v>34</v>
      </c>
      <c r="H20" s="2" t="s">
        <v>34</v>
      </c>
      <c r="I20" s="2"/>
    </row>
    <row r="21" customFormat="false" ht="23.85" hidden="false" customHeight="false" outlineLevel="0" collapsed="false">
      <c r="A21" s="2" t="n">
        <v>20</v>
      </c>
      <c r="B21" s="2" t="s">
        <v>62</v>
      </c>
      <c r="C21" s="2" t="s">
        <v>76</v>
      </c>
      <c r="D21" s="2" t="s">
        <v>11</v>
      </c>
      <c r="E21" s="5" t="s">
        <v>33</v>
      </c>
      <c r="F21" s="2" t="s">
        <v>34</v>
      </c>
      <c r="G21" s="2" t="s">
        <v>34</v>
      </c>
      <c r="H21" s="2" t="s">
        <v>34</v>
      </c>
      <c r="I21" s="2" t="s">
        <v>77</v>
      </c>
    </row>
    <row r="22" customFormat="false" ht="23.85" hidden="false" customHeight="false" outlineLevel="0" collapsed="false">
      <c r="A22" s="2" t="n">
        <v>21</v>
      </c>
      <c r="B22" s="2" t="s">
        <v>62</v>
      </c>
      <c r="C22" s="2" t="s">
        <v>78</v>
      </c>
      <c r="D22" s="2" t="s">
        <v>11</v>
      </c>
      <c r="E22" s="5" t="s">
        <v>33</v>
      </c>
      <c r="F22" s="2" t="s">
        <v>34</v>
      </c>
      <c r="G22" s="2" t="s">
        <v>34</v>
      </c>
      <c r="H22" s="2" t="s">
        <v>34</v>
      </c>
      <c r="I22" s="2"/>
    </row>
    <row r="23" customFormat="false" ht="23.85" hidden="false" customHeight="false" outlineLevel="0" collapsed="false">
      <c r="A23" s="2" t="n">
        <v>22</v>
      </c>
      <c r="B23" s="2" t="s">
        <v>62</v>
      </c>
      <c r="C23" s="2" t="s">
        <v>79</v>
      </c>
      <c r="D23" s="2" t="s">
        <v>11</v>
      </c>
      <c r="E23" s="5" t="s">
        <v>33</v>
      </c>
      <c r="F23" s="2" t="s">
        <v>34</v>
      </c>
      <c r="G23" s="2" t="s">
        <v>34</v>
      </c>
      <c r="H23" s="2" t="s">
        <v>34</v>
      </c>
      <c r="I23" s="2"/>
    </row>
    <row r="24" customFormat="false" ht="57.45" hidden="false" customHeight="false" outlineLevel="0" collapsed="false">
      <c r="A24" s="2" t="n">
        <v>23</v>
      </c>
      <c r="B24" s="2" t="s">
        <v>62</v>
      </c>
      <c r="C24" s="2" t="s">
        <v>80</v>
      </c>
      <c r="D24" s="2" t="s">
        <v>11</v>
      </c>
      <c r="E24" s="2" t="s">
        <v>81</v>
      </c>
      <c r="F24" s="2" t="s">
        <v>82</v>
      </c>
      <c r="G24" s="2" t="s">
        <v>83</v>
      </c>
      <c r="H24" s="3" t="s">
        <v>15</v>
      </c>
      <c r="I24" s="2" t="s">
        <v>84</v>
      </c>
    </row>
    <row r="25" customFormat="false" ht="23.85" hidden="false" customHeight="false" outlineLevel="0" collapsed="false">
      <c r="A25" s="2" t="n">
        <v>24</v>
      </c>
      <c r="B25" s="2" t="s">
        <v>62</v>
      </c>
      <c r="C25" s="2" t="s">
        <v>85</v>
      </c>
      <c r="D25" s="2" t="s">
        <v>11</v>
      </c>
      <c r="E25" s="5" t="s">
        <v>33</v>
      </c>
      <c r="F25" s="2" t="s">
        <v>34</v>
      </c>
      <c r="G25" s="2" t="s">
        <v>34</v>
      </c>
      <c r="H25" s="2" t="s">
        <v>34</v>
      </c>
      <c r="I25" s="2" t="s">
        <v>86</v>
      </c>
    </row>
    <row r="26" customFormat="false" ht="23.85" hidden="false" customHeight="false" outlineLevel="0" collapsed="false">
      <c r="A26" s="2" t="n">
        <v>25</v>
      </c>
      <c r="B26" s="2" t="s">
        <v>62</v>
      </c>
      <c r="C26" s="2" t="s">
        <v>87</v>
      </c>
      <c r="D26" s="2" t="s">
        <v>11</v>
      </c>
      <c r="E26" s="5" t="s">
        <v>33</v>
      </c>
      <c r="F26" s="2" t="s">
        <v>34</v>
      </c>
      <c r="G26" s="2" t="s">
        <v>34</v>
      </c>
      <c r="H26" s="2" t="s">
        <v>34</v>
      </c>
      <c r="I26" s="2"/>
    </row>
    <row r="27" customFormat="false" ht="23.85" hidden="false" customHeight="false" outlineLevel="0" collapsed="false">
      <c r="A27" s="2" t="n">
        <v>26</v>
      </c>
      <c r="B27" s="2" t="s">
        <v>62</v>
      </c>
      <c r="C27" s="2" t="s">
        <v>88</v>
      </c>
      <c r="D27" s="2" t="s">
        <v>11</v>
      </c>
      <c r="E27" s="5" t="s">
        <v>33</v>
      </c>
      <c r="F27" s="2" t="s">
        <v>34</v>
      </c>
      <c r="G27" s="2" t="s">
        <v>34</v>
      </c>
      <c r="H27" s="2" t="s">
        <v>34</v>
      </c>
      <c r="I27" s="2"/>
    </row>
    <row r="28" customFormat="false" ht="35.05" hidden="false" customHeight="false" outlineLevel="0" collapsed="false">
      <c r="A28" s="2" t="n">
        <v>27</v>
      </c>
      <c r="B28" s="2" t="s">
        <v>62</v>
      </c>
      <c r="C28" s="2" t="s">
        <v>89</v>
      </c>
      <c r="D28" s="2" t="s">
        <v>11</v>
      </c>
      <c r="E28" s="2" t="s">
        <v>90</v>
      </c>
      <c r="F28" s="2" t="s">
        <v>91</v>
      </c>
      <c r="G28" s="2" t="s">
        <v>92</v>
      </c>
      <c r="H28" s="6" t="s">
        <v>66</v>
      </c>
      <c r="I28" s="2" t="s">
        <v>93</v>
      </c>
    </row>
    <row r="29" customFormat="false" ht="23.85" hidden="false" customHeight="false" outlineLevel="0" collapsed="false">
      <c r="A29" s="2" t="n">
        <v>28</v>
      </c>
      <c r="B29" s="2" t="s">
        <v>62</v>
      </c>
      <c r="C29" s="2" t="s">
        <v>94</v>
      </c>
      <c r="D29" s="2" t="s">
        <v>11</v>
      </c>
      <c r="E29" s="5" t="s">
        <v>33</v>
      </c>
      <c r="F29" s="2" t="s">
        <v>34</v>
      </c>
      <c r="G29" s="2" t="s">
        <v>34</v>
      </c>
      <c r="H29" s="2" t="s">
        <v>34</v>
      </c>
      <c r="I29" s="2"/>
    </row>
    <row r="30" customFormat="false" ht="23.85" hidden="false" customHeight="false" outlineLevel="0" collapsed="false">
      <c r="A30" s="2" t="n">
        <v>29</v>
      </c>
      <c r="B30" s="2" t="s">
        <v>62</v>
      </c>
      <c r="C30" s="2" t="s">
        <v>95</v>
      </c>
      <c r="D30" s="2" t="s">
        <v>11</v>
      </c>
      <c r="E30" s="5" t="s">
        <v>33</v>
      </c>
      <c r="F30" s="2" t="s">
        <v>34</v>
      </c>
      <c r="G30" s="2" t="s">
        <v>34</v>
      </c>
      <c r="H30" s="2" t="s">
        <v>34</v>
      </c>
      <c r="I30" s="2"/>
    </row>
    <row r="31" customFormat="false" ht="35.05" hidden="false" customHeight="false" outlineLevel="0" collapsed="false">
      <c r="A31" s="2" t="n">
        <v>30</v>
      </c>
      <c r="B31" s="2" t="s">
        <v>62</v>
      </c>
      <c r="C31" s="2" t="s">
        <v>96</v>
      </c>
      <c r="D31" s="2" t="s">
        <v>11</v>
      </c>
      <c r="E31" s="2" t="s">
        <v>97</v>
      </c>
      <c r="F31" s="2" t="s">
        <v>91</v>
      </c>
      <c r="G31" s="2" t="s">
        <v>98</v>
      </c>
      <c r="H31" s="6" t="s">
        <v>66</v>
      </c>
      <c r="I31" s="2" t="s">
        <v>99</v>
      </c>
    </row>
    <row r="32" customFormat="false" ht="23.85" hidden="false" customHeight="false" outlineLevel="0" collapsed="false">
      <c r="A32" s="2" t="n">
        <v>31</v>
      </c>
      <c r="B32" s="2" t="s">
        <v>62</v>
      </c>
      <c r="C32" s="2" t="s">
        <v>100</v>
      </c>
      <c r="D32" s="2" t="s">
        <v>11</v>
      </c>
      <c r="E32" s="2" t="s">
        <v>101</v>
      </c>
      <c r="F32" s="2" t="s">
        <v>91</v>
      </c>
      <c r="G32" s="2" t="s">
        <v>92</v>
      </c>
      <c r="H32" s="4" t="s">
        <v>30</v>
      </c>
      <c r="I32" s="2" t="s">
        <v>93</v>
      </c>
    </row>
    <row r="33" customFormat="false" ht="46.25" hidden="false" customHeight="false" outlineLevel="0" collapsed="false">
      <c r="A33" s="2" t="n">
        <v>32</v>
      </c>
      <c r="B33" s="2" t="s">
        <v>62</v>
      </c>
      <c r="C33" s="2" t="s">
        <v>102</v>
      </c>
      <c r="D33" s="2" t="s">
        <v>11</v>
      </c>
      <c r="E33" s="2" t="s">
        <v>103</v>
      </c>
      <c r="F33" s="2" t="s">
        <v>104</v>
      </c>
      <c r="G33" s="2" t="s">
        <v>105</v>
      </c>
      <c r="H33" s="4" t="s">
        <v>30</v>
      </c>
      <c r="I33" s="2" t="s">
        <v>106</v>
      </c>
    </row>
    <row r="34" customFormat="false" ht="35.05" hidden="false" customHeight="false" outlineLevel="0" collapsed="false">
      <c r="A34" s="2" t="n">
        <v>33</v>
      </c>
      <c r="B34" s="2" t="s">
        <v>62</v>
      </c>
      <c r="C34" s="2" t="s">
        <v>107</v>
      </c>
      <c r="D34" s="2" t="s">
        <v>11</v>
      </c>
      <c r="E34" s="2" t="s">
        <v>108</v>
      </c>
      <c r="F34" s="2" t="s">
        <v>91</v>
      </c>
      <c r="G34" s="2" t="s">
        <v>92</v>
      </c>
      <c r="H34" s="6" t="s">
        <v>66</v>
      </c>
      <c r="I34" s="2" t="s">
        <v>93</v>
      </c>
    </row>
    <row r="35" customFormat="false" ht="23.85" hidden="false" customHeight="false" outlineLevel="0" collapsed="false">
      <c r="A35" s="2" t="n">
        <v>34</v>
      </c>
      <c r="B35" s="2" t="s">
        <v>62</v>
      </c>
      <c r="C35" s="2" t="s">
        <v>109</v>
      </c>
      <c r="D35" s="2" t="s">
        <v>11</v>
      </c>
      <c r="E35" s="5" t="s">
        <v>33</v>
      </c>
      <c r="F35" s="2" t="s">
        <v>34</v>
      </c>
      <c r="G35" s="2" t="s">
        <v>34</v>
      </c>
      <c r="H35" s="2" t="s">
        <v>34</v>
      </c>
      <c r="I35" s="2" t="s">
        <v>110</v>
      </c>
    </row>
    <row r="36" customFormat="false" ht="23.85" hidden="false" customHeight="false" outlineLevel="0" collapsed="false">
      <c r="A36" s="2" t="n">
        <v>35</v>
      </c>
      <c r="B36" s="2" t="s">
        <v>62</v>
      </c>
      <c r="C36" s="2" t="s">
        <v>111</v>
      </c>
      <c r="D36" s="2" t="s">
        <v>11</v>
      </c>
      <c r="E36" s="5" t="s">
        <v>33</v>
      </c>
      <c r="F36" s="2" t="s">
        <v>34</v>
      </c>
      <c r="G36" s="2" t="s">
        <v>34</v>
      </c>
      <c r="H36" s="2" t="s">
        <v>34</v>
      </c>
      <c r="I36" s="2" t="s">
        <v>112</v>
      </c>
    </row>
    <row r="37" customFormat="false" ht="23.85" hidden="false" customHeight="false" outlineLevel="0" collapsed="false">
      <c r="A37" s="2" t="n">
        <v>36</v>
      </c>
      <c r="B37" s="2" t="s">
        <v>62</v>
      </c>
      <c r="C37" s="2" t="s">
        <v>113</v>
      </c>
      <c r="D37" s="2" t="s">
        <v>11</v>
      </c>
      <c r="E37" s="5" t="s">
        <v>33</v>
      </c>
      <c r="F37" s="2" t="s">
        <v>34</v>
      </c>
      <c r="G37" s="2" t="s">
        <v>34</v>
      </c>
      <c r="H37" s="2" t="s">
        <v>34</v>
      </c>
      <c r="I37" s="2" t="s">
        <v>112</v>
      </c>
    </row>
    <row r="38" customFormat="false" ht="23.85" hidden="false" customHeight="false" outlineLevel="0" collapsed="false">
      <c r="A38" s="2" t="n">
        <v>37</v>
      </c>
      <c r="B38" s="2" t="s">
        <v>62</v>
      </c>
      <c r="C38" s="2" t="s">
        <v>114</v>
      </c>
      <c r="D38" s="2" t="s">
        <v>11</v>
      </c>
      <c r="E38" s="5" t="s">
        <v>33</v>
      </c>
      <c r="F38" s="2" t="s">
        <v>34</v>
      </c>
      <c r="G38" s="2" t="s">
        <v>34</v>
      </c>
      <c r="H38" s="2" t="s">
        <v>34</v>
      </c>
      <c r="I38" s="2" t="s">
        <v>115</v>
      </c>
    </row>
    <row r="39" customFormat="false" ht="23.85" hidden="false" customHeight="false" outlineLevel="0" collapsed="false">
      <c r="A39" s="2" t="n">
        <v>38</v>
      </c>
      <c r="B39" s="2" t="s">
        <v>62</v>
      </c>
      <c r="C39" s="2" t="s">
        <v>116</v>
      </c>
      <c r="D39" s="2" t="s">
        <v>11</v>
      </c>
      <c r="E39" s="5" t="s">
        <v>33</v>
      </c>
      <c r="F39" s="2" t="s">
        <v>34</v>
      </c>
      <c r="G39" s="2" t="s">
        <v>34</v>
      </c>
      <c r="H39" s="2" t="s">
        <v>34</v>
      </c>
      <c r="I39" s="2"/>
    </row>
    <row r="40" customFormat="false" ht="23.85" hidden="false" customHeight="false" outlineLevel="0" collapsed="false">
      <c r="A40" s="2" t="n">
        <v>39</v>
      </c>
      <c r="B40" s="2" t="s">
        <v>62</v>
      </c>
      <c r="C40" s="2" t="s">
        <v>117</v>
      </c>
      <c r="D40" s="2" t="s">
        <v>11</v>
      </c>
      <c r="E40" s="5" t="s">
        <v>33</v>
      </c>
      <c r="F40" s="2" t="s">
        <v>34</v>
      </c>
      <c r="G40" s="2" t="s">
        <v>34</v>
      </c>
      <c r="H40" s="2" t="s">
        <v>34</v>
      </c>
      <c r="I40" s="2"/>
    </row>
    <row r="41" customFormat="false" ht="46.25" hidden="false" customHeight="false" outlineLevel="0" collapsed="false">
      <c r="A41" s="2" t="n">
        <v>40</v>
      </c>
      <c r="B41" s="2" t="s">
        <v>62</v>
      </c>
      <c r="C41" s="2" t="s">
        <v>118</v>
      </c>
      <c r="D41" s="2" t="s">
        <v>11</v>
      </c>
      <c r="E41" s="2" t="s">
        <v>119</v>
      </c>
      <c r="F41" s="2" t="s">
        <v>120</v>
      </c>
      <c r="G41" s="2" t="s">
        <v>121</v>
      </c>
      <c r="H41" s="6" t="s">
        <v>66</v>
      </c>
      <c r="I41" s="2" t="s">
        <v>93</v>
      </c>
    </row>
    <row r="42" customFormat="false" ht="35.05" hidden="false" customHeight="false" outlineLevel="0" collapsed="false">
      <c r="A42" s="2" t="n">
        <v>41</v>
      </c>
      <c r="B42" s="2" t="s">
        <v>62</v>
      </c>
      <c r="C42" s="2" t="s">
        <v>122</v>
      </c>
      <c r="D42" s="2" t="s">
        <v>11</v>
      </c>
      <c r="E42" s="2" t="s">
        <v>123</v>
      </c>
      <c r="F42" s="2" t="s">
        <v>124</v>
      </c>
      <c r="G42" s="2" t="s">
        <v>125</v>
      </c>
      <c r="H42" s="4" t="s">
        <v>30</v>
      </c>
      <c r="I42" s="2" t="s">
        <v>126</v>
      </c>
    </row>
    <row r="43" customFormat="false" ht="35.05" hidden="false" customHeight="false" outlineLevel="0" collapsed="false">
      <c r="A43" s="2" t="n">
        <v>42</v>
      </c>
      <c r="B43" s="2" t="s">
        <v>62</v>
      </c>
      <c r="C43" s="2" t="s">
        <v>127</v>
      </c>
      <c r="D43" s="2" t="s">
        <v>11</v>
      </c>
      <c r="E43" s="2" t="s">
        <v>128</v>
      </c>
      <c r="F43" s="2" t="s">
        <v>91</v>
      </c>
      <c r="G43" s="2" t="s">
        <v>92</v>
      </c>
      <c r="H43" s="6" t="s">
        <v>66</v>
      </c>
      <c r="I43" s="2" t="s">
        <v>93</v>
      </c>
    </row>
    <row r="44" customFormat="false" ht="23.85" hidden="false" customHeight="false" outlineLevel="0" collapsed="false">
      <c r="A44" s="2" t="n">
        <v>43</v>
      </c>
      <c r="B44" s="2" t="s">
        <v>62</v>
      </c>
      <c r="C44" s="2" t="s">
        <v>129</v>
      </c>
      <c r="D44" s="2" t="s">
        <v>11</v>
      </c>
      <c r="E44" s="2" t="s">
        <v>130</v>
      </c>
      <c r="F44" s="2" t="s">
        <v>91</v>
      </c>
      <c r="G44" s="2" t="s">
        <v>92</v>
      </c>
      <c r="H44" s="6" t="s">
        <v>66</v>
      </c>
      <c r="I44" s="2" t="s">
        <v>93</v>
      </c>
    </row>
    <row r="45" customFormat="false" ht="23.85" hidden="false" customHeight="false" outlineLevel="0" collapsed="false">
      <c r="A45" s="2" t="n">
        <v>44</v>
      </c>
      <c r="B45" s="2" t="s">
        <v>62</v>
      </c>
      <c r="C45" s="2" t="s">
        <v>131</v>
      </c>
      <c r="D45" s="2" t="s">
        <v>11</v>
      </c>
      <c r="E45" s="2" t="s">
        <v>130</v>
      </c>
      <c r="F45" s="2" t="s">
        <v>91</v>
      </c>
      <c r="G45" s="2" t="s">
        <v>92</v>
      </c>
      <c r="H45" s="6" t="s">
        <v>66</v>
      </c>
      <c r="I45" s="2" t="s">
        <v>93</v>
      </c>
    </row>
    <row r="46" customFormat="false" ht="35.05" hidden="false" customHeight="false" outlineLevel="0" collapsed="false">
      <c r="A46" s="2" t="n">
        <v>45</v>
      </c>
      <c r="B46" s="2" t="s">
        <v>62</v>
      </c>
      <c r="C46" s="2" t="s">
        <v>132</v>
      </c>
      <c r="D46" s="2" t="s">
        <v>11</v>
      </c>
      <c r="E46" s="2" t="s">
        <v>133</v>
      </c>
      <c r="F46" s="2" t="s">
        <v>134</v>
      </c>
      <c r="G46" s="2" t="s">
        <v>125</v>
      </c>
      <c r="H46" s="4" t="s">
        <v>30</v>
      </c>
      <c r="I46" s="2" t="s">
        <v>135</v>
      </c>
    </row>
    <row r="47" customFormat="false" ht="23.85" hidden="false" customHeight="false" outlineLevel="0" collapsed="false">
      <c r="A47" s="2" t="n">
        <v>46</v>
      </c>
      <c r="B47" s="2" t="s">
        <v>62</v>
      </c>
      <c r="C47" s="2" t="s">
        <v>136</v>
      </c>
      <c r="D47" s="2" t="s">
        <v>11</v>
      </c>
      <c r="E47" s="2" t="s">
        <v>137</v>
      </c>
      <c r="F47" s="2" t="s">
        <v>134</v>
      </c>
      <c r="G47" s="2" t="s">
        <v>125</v>
      </c>
      <c r="H47" s="4" t="s">
        <v>30</v>
      </c>
      <c r="I47" s="2" t="s">
        <v>138</v>
      </c>
    </row>
    <row r="48" customFormat="false" ht="23.85" hidden="false" customHeight="false" outlineLevel="0" collapsed="false">
      <c r="A48" s="2" t="n">
        <v>47</v>
      </c>
      <c r="B48" s="2" t="s">
        <v>62</v>
      </c>
      <c r="C48" s="2" t="s">
        <v>139</v>
      </c>
      <c r="D48" s="2" t="s">
        <v>11</v>
      </c>
      <c r="E48" s="2" t="s">
        <v>137</v>
      </c>
      <c r="F48" s="2" t="s">
        <v>134</v>
      </c>
      <c r="G48" s="2" t="s">
        <v>125</v>
      </c>
      <c r="H48" s="4" t="s">
        <v>30</v>
      </c>
      <c r="I48" s="2"/>
    </row>
    <row r="49" customFormat="false" ht="23.85" hidden="false" customHeight="false" outlineLevel="0" collapsed="false">
      <c r="A49" s="2" t="n">
        <v>48</v>
      </c>
      <c r="B49" s="2" t="s">
        <v>140</v>
      </c>
      <c r="C49" s="2" t="s">
        <v>141</v>
      </c>
      <c r="D49" s="2" t="s">
        <v>11</v>
      </c>
      <c r="E49" s="2" t="s">
        <v>142</v>
      </c>
      <c r="F49" s="2" t="s">
        <v>143</v>
      </c>
      <c r="G49" s="2" t="s">
        <v>34</v>
      </c>
      <c r="H49" s="3" t="s">
        <v>15</v>
      </c>
      <c r="I49" s="2" t="s">
        <v>144</v>
      </c>
    </row>
    <row r="50" customFormat="false" ht="23.85" hidden="false" customHeight="false" outlineLevel="0" collapsed="false">
      <c r="A50" s="2" t="n">
        <v>49</v>
      </c>
      <c r="B50" s="2" t="s">
        <v>140</v>
      </c>
      <c r="C50" s="2" t="s">
        <v>145</v>
      </c>
      <c r="D50" s="2" t="s">
        <v>11</v>
      </c>
      <c r="E50" s="2" t="s">
        <v>146</v>
      </c>
      <c r="F50" s="2" t="s">
        <v>143</v>
      </c>
      <c r="G50" s="2" t="s">
        <v>34</v>
      </c>
      <c r="H50" s="3" t="s">
        <v>15</v>
      </c>
      <c r="I50" s="2" t="s">
        <v>147</v>
      </c>
    </row>
    <row r="51" customFormat="false" ht="35.05" hidden="false" customHeight="false" outlineLevel="0" collapsed="false">
      <c r="A51" s="2" t="n">
        <v>50</v>
      </c>
      <c r="B51" s="2" t="s">
        <v>140</v>
      </c>
      <c r="C51" s="2" t="s">
        <v>148</v>
      </c>
      <c r="D51" s="2" t="s">
        <v>11</v>
      </c>
      <c r="E51" s="2" t="s">
        <v>149</v>
      </c>
      <c r="F51" s="2" t="s">
        <v>150</v>
      </c>
      <c r="G51" s="2" t="s">
        <v>34</v>
      </c>
      <c r="H51" s="6" t="s">
        <v>66</v>
      </c>
      <c r="I51" s="2" t="s">
        <v>151</v>
      </c>
    </row>
    <row r="52" customFormat="false" ht="46.25" hidden="false" customHeight="false" outlineLevel="0" collapsed="false">
      <c r="A52" s="2" t="n">
        <v>51</v>
      </c>
      <c r="B52" s="2" t="s">
        <v>140</v>
      </c>
      <c r="C52" s="2" t="s">
        <v>152</v>
      </c>
      <c r="D52" s="2" t="s">
        <v>11</v>
      </c>
      <c r="E52" s="2" t="s">
        <v>153</v>
      </c>
      <c r="F52" s="2" t="s">
        <v>154</v>
      </c>
      <c r="G52" s="2" t="s">
        <v>34</v>
      </c>
      <c r="H52" s="4" t="s">
        <v>30</v>
      </c>
      <c r="I52" s="2"/>
    </row>
    <row r="53" customFormat="false" ht="46.25" hidden="false" customHeight="false" outlineLevel="0" collapsed="false">
      <c r="A53" s="2" t="n">
        <v>52</v>
      </c>
      <c r="B53" s="2" t="s">
        <v>140</v>
      </c>
      <c r="C53" s="2" t="s">
        <v>155</v>
      </c>
      <c r="D53" s="2" t="s">
        <v>11</v>
      </c>
      <c r="E53" s="2" t="s">
        <v>156</v>
      </c>
      <c r="F53" s="2" t="s">
        <v>157</v>
      </c>
      <c r="G53" s="2" t="s">
        <v>34</v>
      </c>
      <c r="H53" s="4" t="s">
        <v>30</v>
      </c>
      <c r="I53" s="2"/>
    </row>
    <row r="54" customFormat="false" ht="23.85" hidden="false" customHeight="false" outlineLevel="0" collapsed="false">
      <c r="A54" s="2" t="n">
        <v>53</v>
      </c>
      <c r="B54" s="2" t="s">
        <v>140</v>
      </c>
      <c r="C54" s="2" t="s">
        <v>158</v>
      </c>
      <c r="D54" s="2" t="s">
        <v>11</v>
      </c>
      <c r="E54" s="2" t="s">
        <v>159</v>
      </c>
      <c r="F54" s="2" t="s">
        <v>59</v>
      </c>
      <c r="G54" s="2" t="s">
        <v>60</v>
      </c>
      <c r="H54" s="3" t="s">
        <v>15</v>
      </c>
      <c r="I54" s="2" t="s">
        <v>160</v>
      </c>
    </row>
    <row r="55" customFormat="false" ht="23.85" hidden="false" customHeight="false" outlineLevel="0" collapsed="false">
      <c r="A55" s="2" t="n">
        <v>54</v>
      </c>
      <c r="B55" s="2" t="s">
        <v>140</v>
      </c>
      <c r="C55" s="2" t="s">
        <v>161</v>
      </c>
      <c r="D55" s="2" t="s">
        <v>11</v>
      </c>
      <c r="E55" s="2" t="s">
        <v>162</v>
      </c>
      <c r="F55" s="2" t="s">
        <v>59</v>
      </c>
      <c r="G55" s="2" t="s">
        <v>60</v>
      </c>
      <c r="H55" s="4" t="s">
        <v>30</v>
      </c>
      <c r="I55" s="2"/>
    </row>
    <row r="56" customFormat="false" ht="23.85" hidden="false" customHeight="false" outlineLevel="0" collapsed="false">
      <c r="A56" s="2" t="n">
        <v>55</v>
      </c>
      <c r="B56" s="2" t="s">
        <v>140</v>
      </c>
      <c r="C56" s="2" t="s">
        <v>163</v>
      </c>
      <c r="D56" s="2" t="s">
        <v>11</v>
      </c>
      <c r="E56" s="2" t="s">
        <v>159</v>
      </c>
      <c r="F56" s="2" t="s">
        <v>59</v>
      </c>
      <c r="G56" s="2" t="s">
        <v>60</v>
      </c>
      <c r="H56" s="4" t="s">
        <v>30</v>
      </c>
      <c r="I56" s="2" t="s">
        <v>164</v>
      </c>
    </row>
    <row r="57" customFormat="false" ht="23.85" hidden="false" customHeight="false" outlineLevel="0" collapsed="false">
      <c r="A57" s="2" t="n">
        <v>56</v>
      </c>
      <c r="B57" s="2" t="s">
        <v>140</v>
      </c>
      <c r="C57" s="2" t="s">
        <v>165</v>
      </c>
      <c r="D57" s="2" t="s">
        <v>11</v>
      </c>
      <c r="E57" s="2" t="s">
        <v>166</v>
      </c>
      <c r="F57" s="2" t="s">
        <v>167</v>
      </c>
      <c r="G57" s="2" t="s">
        <v>168</v>
      </c>
      <c r="H57" s="4" t="s">
        <v>30</v>
      </c>
      <c r="I57" s="2" t="s">
        <v>169</v>
      </c>
    </row>
    <row r="58" customFormat="false" ht="23.85" hidden="false" customHeight="false" outlineLevel="0" collapsed="false">
      <c r="A58" s="2" t="n">
        <v>57</v>
      </c>
      <c r="B58" s="2" t="s">
        <v>140</v>
      </c>
      <c r="C58" s="2" t="s">
        <v>170</v>
      </c>
      <c r="D58" s="2" t="s">
        <v>11</v>
      </c>
      <c r="E58" s="2" t="s">
        <v>171</v>
      </c>
      <c r="F58" s="2" t="s">
        <v>167</v>
      </c>
      <c r="G58" s="2" t="s">
        <v>168</v>
      </c>
      <c r="H58" s="4" t="s">
        <v>30</v>
      </c>
      <c r="I58" s="2"/>
    </row>
    <row r="59" customFormat="false" ht="23.85" hidden="false" customHeight="false" outlineLevel="0" collapsed="false">
      <c r="A59" s="2" t="n">
        <v>58</v>
      </c>
      <c r="B59" s="2" t="s">
        <v>140</v>
      </c>
      <c r="C59" s="2" t="s">
        <v>172</v>
      </c>
      <c r="D59" s="2" t="s">
        <v>11</v>
      </c>
      <c r="E59" s="5" t="s">
        <v>33</v>
      </c>
      <c r="F59" s="2" t="s">
        <v>34</v>
      </c>
      <c r="G59" s="2" t="s">
        <v>34</v>
      </c>
      <c r="H59" s="2" t="s">
        <v>34</v>
      </c>
      <c r="I59" s="2" t="s">
        <v>173</v>
      </c>
    </row>
    <row r="60" customFormat="false" ht="23.85" hidden="false" customHeight="false" outlineLevel="0" collapsed="false">
      <c r="A60" s="2" t="n">
        <v>59</v>
      </c>
      <c r="B60" s="2" t="s">
        <v>140</v>
      </c>
      <c r="C60" s="2" t="s">
        <v>174</v>
      </c>
      <c r="D60" s="2" t="s">
        <v>11</v>
      </c>
      <c r="E60" s="5" t="s">
        <v>33</v>
      </c>
      <c r="F60" s="2" t="s">
        <v>34</v>
      </c>
      <c r="G60" s="2" t="s">
        <v>34</v>
      </c>
      <c r="H60" s="2" t="s">
        <v>34</v>
      </c>
      <c r="I60" s="2" t="s">
        <v>175</v>
      </c>
    </row>
    <row r="61" customFormat="false" ht="23.85" hidden="false" customHeight="false" outlineLevel="0" collapsed="false">
      <c r="A61" s="2" t="n">
        <v>60</v>
      </c>
      <c r="B61" s="2" t="s">
        <v>140</v>
      </c>
      <c r="C61" s="2" t="s">
        <v>176</v>
      </c>
      <c r="D61" s="2" t="s">
        <v>11</v>
      </c>
      <c r="E61" s="5" t="s">
        <v>33</v>
      </c>
      <c r="F61" s="2" t="s">
        <v>34</v>
      </c>
      <c r="G61" s="2" t="s">
        <v>34</v>
      </c>
      <c r="H61" s="2" t="s">
        <v>34</v>
      </c>
      <c r="I61" s="2"/>
    </row>
    <row r="62" customFormat="false" ht="23.85" hidden="false" customHeight="false" outlineLevel="0" collapsed="false">
      <c r="A62" s="2" t="n">
        <v>61</v>
      </c>
      <c r="B62" s="2" t="s">
        <v>140</v>
      </c>
      <c r="C62" s="2" t="s">
        <v>177</v>
      </c>
      <c r="D62" s="2" t="s">
        <v>11</v>
      </c>
      <c r="E62" s="2" t="s">
        <v>178</v>
      </c>
      <c r="F62" s="2" t="s">
        <v>143</v>
      </c>
      <c r="G62" s="2" t="s">
        <v>34</v>
      </c>
      <c r="H62" s="4" t="s">
        <v>30</v>
      </c>
      <c r="I62" s="2" t="s">
        <v>179</v>
      </c>
    </row>
    <row r="63" customFormat="false" ht="23.85" hidden="false" customHeight="false" outlineLevel="0" collapsed="false">
      <c r="A63" s="2" t="n">
        <v>62</v>
      </c>
      <c r="B63" s="2" t="s">
        <v>140</v>
      </c>
      <c r="C63" s="2" t="s">
        <v>180</v>
      </c>
      <c r="D63" s="2" t="s">
        <v>11</v>
      </c>
      <c r="E63" s="2" t="s">
        <v>181</v>
      </c>
      <c r="F63" s="2" t="s">
        <v>167</v>
      </c>
      <c r="G63" s="2" t="s">
        <v>168</v>
      </c>
      <c r="H63" s="6" t="s">
        <v>66</v>
      </c>
      <c r="I63" s="2"/>
    </row>
    <row r="64" customFormat="false" ht="23.85" hidden="false" customHeight="false" outlineLevel="0" collapsed="false">
      <c r="A64" s="2" t="n">
        <v>63</v>
      </c>
      <c r="B64" s="2" t="s">
        <v>140</v>
      </c>
      <c r="C64" s="2" t="s">
        <v>182</v>
      </c>
      <c r="D64" s="2" t="s">
        <v>11</v>
      </c>
      <c r="E64" s="5" t="s">
        <v>33</v>
      </c>
      <c r="F64" s="2" t="s">
        <v>34</v>
      </c>
      <c r="G64" s="2" t="s">
        <v>34</v>
      </c>
      <c r="H64" s="2" t="s">
        <v>34</v>
      </c>
      <c r="I64" s="2" t="s">
        <v>183</v>
      </c>
    </row>
    <row r="65" customFormat="false" ht="23.85" hidden="false" customHeight="false" outlineLevel="0" collapsed="false">
      <c r="A65" s="2" t="n">
        <v>64</v>
      </c>
      <c r="B65" s="2" t="s">
        <v>140</v>
      </c>
      <c r="C65" s="2" t="s">
        <v>184</v>
      </c>
      <c r="D65" s="2" t="s">
        <v>11</v>
      </c>
      <c r="E65" s="5" t="s">
        <v>33</v>
      </c>
      <c r="F65" s="2" t="s">
        <v>34</v>
      </c>
      <c r="G65" s="2" t="s">
        <v>34</v>
      </c>
      <c r="H65" s="2" t="s">
        <v>34</v>
      </c>
      <c r="I65" s="2"/>
    </row>
    <row r="66" customFormat="false" ht="23.85" hidden="false" customHeight="false" outlineLevel="0" collapsed="false">
      <c r="A66" s="2" t="n">
        <v>65</v>
      </c>
      <c r="B66" s="2" t="s">
        <v>140</v>
      </c>
      <c r="C66" s="2" t="s">
        <v>185</v>
      </c>
      <c r="D66" s="2" t="s">
        <v>11</v>
      </c>
      <c r="E66" s="5" t="s">
        <v>33</v>
      </c>
      <c r="F66" s="2" t="s">
        <v>34</v>
      </c>
      <c r="G66" s="2" t="s">
        <v>34</v>
      </c>
      <c r="H66" s="2" t="s">
        <v>34</v>
      </c>
      <c r="I66" s="2" t="s">
        <v>186</v>
      </c>
    </row>
    <row r="67" customFormat="false" ht="23.85" hidden="false" customHeight="false" outlineLevel="0" collapsed="false">
      <c r="A67" s="2" t="n">
        <v>66</v>
      </c>
      <c r="B67" s="2" t="s">
        <v>140</v>
      </c>
      <c r="C67" s="2" t="s">
        <v>187</v>
      </c>
      <c r="D67" s="2" t="s">
        <v>11</v>
      </c>
      <c r="E67" s="5" t="s">
        <v>33</v>
      </c>
      <c r="F67" s="2" t="s">
        <v>34</v>
      </c>
      <c r="G67" s="2" t="s">
        <v>34</v>
      </c>
      <c r="H67" s="2" t="s">
        <v>34</v>
      </c>
      <c r="I67" s="2"/>
    </row>
    <row r="68" customFormat="false" ht="23.85" hidden="false" customHeight="false" outlineLevel="0" collapsed="false">
      <c r="A68" s="2" t="n">
        <v>67</v>
      </c>
      <c r="B68" s="2" t="s">
        <v>140</v>
      </c>
      <c r="C68" s="2" t="s">
        <v>188</v>
      </c>
      <c r="D68" s="2" t="s">
        <v>11</v>
      </c>
      <c r="E68" s="5" t="s">
        <v>33</v>
      </c>
      <c r="F68" s="2" t="s">
        <v>34</v>
      </c>
      <c r="G68" s="2" t="s">
        <v>34</v>
      </c>
      <c r="H68" s="2" t="s">
        <v>34</v>
      </c>
      <c r="I68" s="2"/>
    </row>
    <row r="69" customFormat="false" ht="23.85" hidden="false" customHeight="false" outlineLevel="0" collapsed="false">
      <c r="A69" s="2" t="n">
        <v>68</v>
      </c>
      <c r="B69" s="2" t="s">
        <v>140</v>
      </c>
      <c r="C69" s="2" t="s">
        <v>189</v>
      </c>
      <c r="D69" s="2" t="s">
        <v>11</v>
      </c>
      <c r="E69" s="5" t="s">
        <v>33</v>
      </c>
      <c r="F69" s="2" t="s">
        <v>34</v>
      </c>
      <c r="G69" s="2" t="s">
        <v>34</v>
      </c>
      <c r="H69" s="2" t="s">
        <v>34</v>
      </c>
      <c r="I69" s="2"/>
    </row>
    <row r="70" customFormat="false" ht="23.85" hidden="false" customHeight="false" outlineLevel="0" collapsed="false">
      <c r="A70" s="2" t="n">
        <v>69</v>
      </c>
      <c r="B70" s="2" t="s">
        <v>140</v>
      </c>
      <c r="C70" s="2" t="s">
        <v>190</v>
      </c>
      <c r="D70" s="2" t="s">
        <v>11</v>
      </c>
      <c r="E70" s="5" t="s">
        <v>33</v>
      </c>
      <c r="F70" s="2" t="s">
        <v>34</v>
      </c>
      <c r="G70" s="2" t="s">
        <v>34</v>
      </c>
      <c r="H70" s="2" t="s">
        <v>34</v>
      </c>
      <c r="I70" s="2"/>
    </row>
    <row r="71" customFormat="false" ht="35.05" hidden="false" customHeight="false" outlineLevel="0" collapsed="false">
      <c r="A71" s="2" t="n">
        <v>70</v>
      </c>
      <c r="B71" s="2" t="s">
        <v>191</v>
      </c>
      <c r="C71" s="2" t="s">
        <v>192</v>
      </c>
      <c r="D71" s="2" t="s">
        <v>11</v>
      </c>
      <c r="E71" s="5" t="s">
        <v>33</v>
      </c>
      <c r="F71" s="2" t="s">
        <v>34</v>
      </c>
      <c r="G71" s="2" t="s">
        <v>34</v>
      </c>
      <c r="H71" s="2" t="s">
        <v>34</v>
      </c>
      <c r="I71" s="2" t="s">
        <v>193</v>
      </c>
    </row>
    <row r="72" customFormat="false" ht="46.25" hidden="false" customHeight="false" outlineLevel="0" collapsed="false">
      <c r="A72" s="2" t="n">
        <v>71</v>
      </c>
      <c r="B72" s="2" t="s">
        <v>191</v>
      </c>
      <c r="C72" s="2" t="s">
        <v>194</v>
      </c>
      <c r="D72" s="2" t="s">
        <v>11</v>
      </c>
      <c r="E72" s="5" t="s">
        <v>33</v>
      </c>
      <c r="F72" s="2" t="s">
        <v>34</v>
      </c>
      <c r="G72" s="2" t="s">
        <v>34</v>
      </c>
      <c r="H72" s="2" t="s">
        <v>34</v>
      </c>
      <c r="I72" s="2" t="s">
        <v>195</v>
      </c>
    </row>
    <row r="73" customFormat="false" ht="35.05" hidden="false" customHeight="false" outlineLevel="0" collapsed="false">
      <c r="A73" s="2" t="n">
        <v>72</v>
      </c>
      <c r="B73" s="2" t="s">
        <v>191</v>
      </c>
      <c r="C73" s="2" t="s">
        <v>196</v>
      </c>
      <c r="D73" s="2" t="s">
        <v>11</v>
      </c>
      <c r="E73" s="5" t="s">
        <v>33</v>
      </c>
      <c r="F73" s="2" t="s">
        <v>34</v>
      </c>
      <c r="G73" s="2" t="s">
        <v>34</v>
      </c>
      <c r="H73" s="2" t="s">
        <v>34</v>
      </c>
      <c r="I73" s="2"/>
    </row>
    <row r="74" customFormat="false" ht="35.05" hidden="false" customHeight="false" outlineLevel="0" collapsed="false">
      <c r="A74" s="2" t="n">
        <v>73</v>
      </c>
      <c r="B74" s="2" t="s">
        <v>191</v>
      </c>
      <c r="C74" s="2" t="s">
        <v>197</v>
      </c>
      <c r="D74" s="2" t="s">
        <v>11</v>
      </c>
      <c r="E74" s="5" t="s">
        <v>33</v>
      </c>
      <c r="F74" s="2" t="s">
        <v>34</v>
      </c>
      <c r="G74" s="2" t="s">
        <v>34</v>
      </c>
      <c r="H74" s="2" t="s">
        <v>34</v>
      </c>
      <c r="I74" s="2"/>
    </row>
    <row r="75" customFormat="false" ht="35.05" hidden="false" customHeight="false" outlineLevel="0" collapsed="false">
      <c r="A75" s="2" t="n">
        <v>74</v>
      </c>
      <c r="B75" s="2" t="s">
        <v>191</v>
      </c>
      <c r="C75" s="2" t="s">
        <v>198</v>
      </c>
      <c r="D75" s="2" t="s">
        <v>11</v>
      </c>
      <c r="E75" s="5" t="s">
        <v>33</v>
      </c>
      <c r="F75" s="2" t="s">
        <v>34</v>
      </c>
      <c r="G75" s="2" t="s">
        <v>34</v>
      </c>
      <c r="H75" s="2" t="s">
        <v>34</v>
      </c>
      <c r="I75" s="2"/>
    </row>
    <row r="76" customFormat="false" ht="35.05" hidden="false" customHeight="false" outlineLevel="0" collapsed="false">
      <c r="A76" s="2" t="n">
        <v>75</v>
      </c>
      <c r="B76" s="2" t="s">
        <v>191</v>
      </c>
      <c r="C76" s="2" t="s">
        <v>199</v>
      </c>
      <c r="D76" s="2" t="s">
        <v>11</v>
      </c>
      <c r="E76" s="5" t="s">
        <v>33</v>
      </c>
      <c r="F76" s="2" t="s">
        <v>34</v>
      </c>
      <c r="G76" s="2" t="s">
        <v>34</v>
      </c>
      <c r="H76" s="2" t="s">
        <v>34</v>
      </c>
      <c r="I76" s="2"/>
    </row>
    <row r="77" customFormat="false" ht="35.05" hidden="false" customHeight="false" outlineLevel="0" collapsed="false">
      <c r="A77" s="2" t="n">
        <v>76</v>
      </c>
      <c r="B77" s="2" t="s">
        <v>191</v>
      </c>
      <c r="C77" s="2" t="s">
        <v>200</v>
      </c>
      <c r="D77" s="2" t="s">
        <v>11</v>
      </c>
      <c r="E77" s="5" t="s">
        <v>33</v>
      </c>
      <c r="F77" s="2" t="s">
        <v>34</v>
      </c>
      <c r="G77" s="2" t="s">
        <v>34</v>
      </c>
      <c r="H77" s="2" t="s">
        <v>34</v>
      </c>
      <c r="I77" s="2"/>
    </row>
    <row r="78" customFormat="false" ht="35.05" hidden="false" customHeight="false" outlineLevel="0" collapsed="false">
      <c r="A78" s="2" t="n">
        <v>77</v>
      </c>
      <c r="B78" s="2" t="s">
        <v>191</v>
      </c>
      <c r="C78" s="2" t="s">
        <v>201</v>
      </c>
      <c r="D78" s="2" t="s">
        <v>11</v>
      </c>
      <c r="E78" s="5" t="s">
        <v>33</v>
      </c>
      <c r="F78" s="2" t="s">
        <v>34</v>
      </c>
      <c r="G78" s="2" t="s">
        <v>34</v>
      </c>
      <c r="H78" s="2" t="s">
        <v>34</v>
      </c>
      <c r="I78" s="2"/>
    </row>
    <row r="79" customFormat="false" ht="35.05" hidden="false" customHeight="false" outlineLevel="0" collapsed="false">
      <c r="A79" s="2" t="n">
        <v>78</v>
      </c>
      <c r="B79" s="2" t="s">
        <v>191</v>
      </c>
      <c r="C79" s="2" t="s">
        <v>202</v>
      </c>
      <c r="D79" s="2" t="s">
        <v>11</v>
      </c>
      <c r="E79" s="5" t="s">
        <v>33</v>
      </c>
      <c r="F79" s="2" t="s">
        <v>34</v>
      </c>
      <c r="G79" s="2" t="s">
        <v>34</v>
      </c>
      <c r="H79" s="2" t="s">
        <v>34</v>
      </c>
      <c r="I79" s="2"/>
    </row>
    <row r="80" customFormat="false" ht="35.05" hidden="false" customHeight="false" outlineLevel="0" collapsed="false">
      <c r="A80" s="2" t="n">
        <v>79</v>
      </c>
      <c r="B80" s="2" t="s">
        <v>191</v>
      </c>
      <c r="C80" s="2" t="s">
        <v>203</v>
      </c>
      <c r="D80" s="2" t="s">
        <v>11</v>
      </c>
      <c r="E80" s="5" t="s">
        <v>33</v>
      </c>
      <c r="F80" s="2" t="s">
        <v>34</v>
      </c>
      <c r="G80" s="2" t="s">
        <v>34</v>
      </c>
      <c r="H80" s="2" t="s">
        <v>34</v>
      </c>
      <c r="I80" s="2"/>
    </row>
    <row r="81" customFormat="false" ht="35.05" hidden="false" customHeight="false" outlineLevel="0" collapsed="false">
      <c r="A81" s="2" t="n">
        <v>80</v>
      </c>
      <c r="B81" s="2" t="s">
        <v>191</v>
      </c>
      <c r="C81" s="2" t="s">
        <v>204</v>
      </c>
      <c r="D81" s="2" t="s">
        <v>11</v>
      </c>
      <c r="E81" s="5" t="s">
        <v>33</v>
      </c>
      <c r="F81" s="2" t="s">
        <v>34</v>
      </c>
      <c r="G81" s="2" t="s">
        <v>34</v>
      </c>
      <c r="H81" s="2" t="s">
        <v>34</v>
      </c>
      <c r="I81" s="2"/>
    </row>
    <row r="82" customFormat="false" ht="35.05" hidden="false" customHeight="false" outlineLevel="0" collapsed="false">
      <c r="A82" s="2" t="n">
        <v>81</v>
      </c>
      <c r="B82" s="2" t="s">
        <v>191</v>
      </c>
      <c r="C82" s="2" t="s">
        <v>205</v>
      </c>
      <c r="D82" s="2" t="s">
        <v>11</v>
      </c>
      <c r="E82" s="5" t="s">
        <v>33</v>
      </c>
      <c r="F82" s="2" t="s">
        <v>34</v>
      </c>
      <c r="G82" s="2" t="s">
        <v>34</v>
      </c>
      <c r="H82" s="2" t="s">
        <v>34</v>
      </c>
      <c r="I82" s="2"/>
    </row>
    <row r="83" customFormat="false" ht="35.05" hidden="false" customHeight="false" outlineLevel="0" collapsed="false">
      <c r="A83" s="2" t="n">
        <v>82</v>
      </c>
      <c r="B83" s="2" t="s">
        <v>191</v>
      </c>
      <c r="C83" s="2" t="s">
        <v>206</v>
      </c>
      <c r="D83" s="2" t="s">
        <v>11</v>
      </c>
      <c r="E83" s="5" t="s">
        <v>33</v>
      </c>
      <c r="F83" s="2" t="s">
        <v>34</v>
      </c>
      <c r="G83" s="2" t="s">
        <v>34</v>
      </c>
      <c r="H83" s="2" t="s">
        <v>34</v>
      </c>
      <c r="I83" s="2"/>
    </row>
    <row r="84" customFormat="false" ht="35.05" hidden="false" customHeight="false" outlineLevel="0" collapsed="false">
      <c r="A84" s="2" t="n">
        <v>83</v>
      </c>
      <c r="B84" s="2" t="s">
        <v>191</v>
      </c>
      <c r="C84" s="2" t="s">
        <v>207</v>
      </c>
      <c r="D84" s="2" t="s">
        <v>11</v>
      </c>
      <c r="E84" s="5" t="s">
        <v>33</v>
      </c>
      <c r="F84" s="2" t="s">
        <v>34</v>
      </c>
      <c r="G84" s="2" t="s">
        <v>34</v>
      </c>
      <c r="H84" s="2" t="s">
        <v>34</v>
      </c>
      <c r="I84" s="2"/>
    </row>
    <row r="85" customFormat="false" ht="35.05" hidden="false" customHeight="false" outlineLevel="0" collapsed="false">
      <c r="A85" s="2" t="n">
        <v>84</v>
      </c>
      <c r="B85" s="2" t="s">
        <v>191</v>
      </c>
      <c r="C85" s="2" t="s">
        <v>208</v>
      </c>
      <c r="D85" s="2" t="s">
        <v>11</v>
      </c>
      <c r="E85" s="5" t="s">
        <v>33</v>
      </c>
      <c r="F85" s="2" t="s">
        <v>34</v>
      </c>
      <c r="G85" s="2" t="s">
        <v>34</v>
      </c>
      <c r="H85" s="2" t="s">
        <v>34</v>
      </c>
      <c r="I85" s="2"/>
    </row>
    <row r="86" customFormat="false" ht="35.05" hidden="false" customHeight="false" outlineLevel="0" collapsed="false">
      <c r="A86" s="2" t="n">
        <v>85</v>
      </c>
      <c r="B86" s="2" t="s">
        <v>191</v>
      </c>
      <c r="C86" s="2" t="s">
        <v>209</v>
      </c>
      <c r="D86" s="2" t="s">
        <v>11</v>
      </c>
      <c r="E86" s="5" t="s">
        <v>33</v>
      </c>
      <c r="F86" s="2" t="s">
        <v>34</v>
      </c>
      <c r="G86" s="2" t="s">
        <v>34</v>
      </c>
      <c r="H86" s="2" t="s">
        <v>34</v>
      </c>
      <c r="I86" s="2"/>
    </row>
    <row r="87" customFormat="false" ht="35.05" hidden="false" customHeight="false" outlineLevel="0" collapsed="false">
      <c r="A87" s="2" t="n">
        <v>86</v>
      </c>
      <c r="B87" s="2" t="s">
        <v>191</v>
      </c>
      <c r="C87" s="2" t="s">
        <v>210</v>
      </c>
      <c r="D87" s="2" t="s">
        <v>11</v>
      </c>
      <c r="E87" s="5" t="s">
        <v>33</v>
      </c>
      <c r="F87" s="2" t="s">
        <v>34</v>
      </c>
      <c r="G87" s="2" t="s">
        <v>34</v>
      </c>
      <c r="H87" s="2" t="s">
        <v>34</v>
      </c>
      <c r="I87" s="2"/>
    </row>
    <row r="88" customFormat="false" ht="35.05" hidden="false" customHeight="false" outlineLevel="0" collapsed="false">
      <c r="A88" s="2" t="n">
        <v>87</v>
      </c>
      <c r="B88" s="2" t="s">
        <v>191</v>
      </c>
      <c r="C88" s="2" t="s">
        <v>211</v>
      </c>
      <c r="D88" s="2" t="s">
        <v>11</v>
      </c>
      <c r="E88" s="5" t="s">
        <v>33</v>
      </c>
      <c r="F88" s="2" t="s">
        <v>34</v>
      </c>
      <c r="G88" s="2" t="s">
        <v>34</v>
      </c>
      <c r="H88" s="2" t="s">
        <v>34</v>
      </c>
      <c r="I88" s="2"/>
    </row>
    <row r="89" customFormat="false" ht="35.05" hidden="false" customHeight="false" outlineLevel="0" collapsed="false">
      <c r="A89" s="2" t="n">
        <v>88</v>
      </c>
      <c r="B89" s="2" t="s">
        <v>191</v>
      </c>
      <c r="C89" s="2" t="s">
        <v>212</v>
      </c>
      <c r="D89" s="2" t="s">
        <v>11</v>
      </c>
      <c r="E89" s="5" t="s">
        <v>33</v>
      </c>
      <c r="F89" s="2" t="s">
        <v>34</v>
      </c>
      <c r="G89" s="2" t="s">
        <v>34</v>
      </c>
      <c r="H89" s="2" t="s">
        <v>34</v>
      </c>
      <c r="I89" s="2"/>
    </row>
    <row r="90" customFormat="false" ht="35.05" hidden="false" customHeight="false" outlineLevel="0" collapsed="false">
      <c r="A90" s="2" t="n">
        <v>89</v>
      </c>
      <c r="B90" s="2" t="s">
        <v>191</v>
      </c>
      <c r="C90" s="2" t="s">
        <v>213</v>
      </c>
      <c r="D90" s="2" t="s">
        <v>11</v>
      </c>
      <c r="E90" s="5" t="s">
        <v>33</v>
      </c>
      <c r="F90" s="2" t="s">
        <v>34</v>
      </c>
      <c r="G90" s="2" t="s">
        <v>34</v>
      </c>
      <c r="H90" s="2" t="s">
        <v>34</v>
      </c>
      <c r="I90" s="2"/>
    </row>
    <row r="91" customFormat="false" ht="35.05" hidden="false" customHeight="false" outlineLevel="0" collapsed="false">
      <c r="A91" s="2" t="n">
        <v>90</v>
      </c>
      <c r="B91" s="2" t="s">
        <v>191</v>
      </c>
      <c r="C91" s="2" t="s">
        <v>214</v>
      </c>
      <c r="D91" s="2" t="s">
        <v>11</v>
      </c>
      <c r="E91" s="5" t="s">
        <v>33</v>
      </c>
      <c r="F91" s="2" t="s">
        <v>34</v>
      </c>
      <c r="G91" s="2" t="s">
        <v>34</v>
      </c>
      <c r="H91" s="2" t="s">
        <v>34</v>
      </c>
      <c r="I91" s="2"/>
    </row>
    <row r="92" customFormat="false" ht="35.05" hidden="false" customHeight="false" outlineLevel="0" collapsed="false">
      <c r="A92" s="2" t="n">
        <v>91</v>
      </c>
      <c r="B92" s="2" t="s">
        <v>191</v>
      </c>
      <c r="C92" s="2" t="s">
        <v>215</v>
      </c>
      <c r="D92" s="2" t="s">
        <v>11</v>
      </c>
      <c r="E92" s="5" t="s">
        <v>33</v>
      </c>
      <c r="F92" s="2" t="s">
        <v>34</v>
      </c>
      <c r="G92" s="2" t="s">
        <v>34</v>
      </c>
      <c r="H92" s="2" t="s">
        <v>34</v>
      </c>
      <c r="I92" s="2"/>
    </row>
    <row r="93" customFormat="false" ht="35.05" hidden="false" customHeight="false" outlineLevel="0" collapsed="false">
      <c r="A93" s="2" t="n">
        <v>92</v>
      </c>
      <c r="B93" s="2" t="s">
        <v>191</v>
      </c>
      <c r="C93" s="2" t="s">
        <v>216</v>
      </c>
      <c r="D93" s="2" t="s">
        <v>11</v>
      </c>
      <c r="E93" s="5" t="s">
        <v>33</v>
      </c>
      <c r="F93" s="2" t="s">
        <v>34</v>
      </c>
      <c r="G93" s="2" t="s">
        <v>34</v>
      </c>
      <c r="H93" s="2" t="s">
        <v>34</v>
      </c>
      <c r="I93" s="2"/>
    </row>
    <row r="94" customFormat="false" ht="35.05" hidden="false" customHeight="false" outlineLevel="0" collapsed="false">
      <c r="A94" s="2" t="n">
        <v>93</v>
      </c>
      <c r="B94" s="2" t="s">
        <v>191</v>
      </c>
      <c r="C94" s="2" t="s">
        <v>217</v>
      </c>
      <c r="D94" s="2" t="s">
        <v>11</v>
      </c>
      <c r="E94" s="5" t="s">
        <v>33</v>
      </c>
      <c r="F94" s="2" t="s">
        <v>34</v>
      </c>
      <c r="G94" s="2" t="s">
        <v>34</v>
      </c>
      <c r="H94" s="2" t="s">
        <v>34</v>
      </c>
      <c r="I94" s="2"/>
    </row>
    <row r="95" customFormat="false" ht="35.05" hidden="false" customHeight="false" outlineLevel="0" collapsed="false">
      <c r="A95" s="2" t="n">
        <v>94</v>
      </c>
      <c r="B95" s="2" t="s">
        <v>191</v>
      </c>
      <c r="C95" s="2" t="s">
        <v>218</v>
      </c>
      <c r="D95" s="2" t="s">
        <v>11</v>
      </c>
      <c r="E95" s="5" t="s">
        <v>33</v>
      </c>
      <c r="F95" s="2" t="s">
        <v>34</v>
      </c>
      <c r="G95" s="2" t="s">
        <v>34</v>
      </c>
      <c r="H95" s="2" t="s">
        <v>34</v>
      </c>
      <c r="I95" s="2"/>
    </row>
    <row r="96" customFormat="false" ht="35.05" hidden="false" customHeight="false" outlineLevel="0" collapsed="false">
      <c r="A96" s="2" t="n">
        <v>95</v>
      </c>
      <c r="B96" s="2" t="s">
        <v>191</v>
      </c>
      <c r="C96" s="2" t="s">
        <v>219</v>
      </c>
      <c r="D96" s="2" t="s">
        <v>11</v>
      </c>
      <c r="E96" s="5" t="s">
        <v>33</v>
      </c>
      <c r="F96" s="2" t="s">
        <v>34</v>
      </c>
      <c r="G96" s="2" t="s">
        <v>34</v>
      </c>
      <c r="H96" s="2" t="s">
        <v>34</v>
      </c>
      <c r="I96" s="2"/>
    </row>
    <row r="97" customFormat="false" ht="35.05" hidden="false" customHeight="false" outlineLevel="0" collapsed="false">
      <c r="A97" s="2" t="n">
        <v>96</v>
      </c>
      <c r="B97" s="2" t="s">
        <v>191</v>
      </c>
      <c r="C97" s="2" t="s">
        <v>220</v>
      </c>
      <c r="D97" s="2" t="s">
        <v>11</v>
      </c>
      <c r="E97" s="5" t="s">
        <v>33</v>
      </c>
      <c r="F97" s="2" t="s">
        <v>34</v>
      </c>
      <c r="G97" s="2" t="s">
        <v>34</v>
      </c>
      <c r="H97" s="2" t="s">
        <v>34</v>
      </c>
      <c r="I97" s="2"/>
    </row>
    <row r="98" customFormat="false" ht="35.05" hidden="false" customHeight="false" outlineLevel="0" collapsed="false">
      <c r="A98" s="2" t="n">
        <v>97</v>
      </c>
      <c r="B98" s="2" t="s">
        <v>191</v>
      </c>
      <c r="C98" s="2" t="s">
        <v>221</v>
      </c>
      <c r="D98" s="2" t="s">
        <v>11</v>
      </c>
      <c r="E98" s="5" t="s">
        <v>33</v>
      </c>
      <c r="F98" s="2" t="s">
        <v>34</v>
      </c>
      <c r="G98" s="2" t="s">
        <v>34</v>
      </c>
      <c r="H98" s="2" t="s">
        <v>34</v>
      </c>
      <c r="I98" s="2"/>
    </row>
    <row r="99" customFormat="false" ht="35.05" hidden="false" customHeight="false" outlineLevel="0" collapsed="false">
      <c r="A99" s="2" t="n">
        <v>98</v>
      </c>
      <c r="B99" s="2" t="s">
        <v>191</v>
      </c>
      <c r="C99" s="2" t="s">
        <v>222</v>
      </c>
      <c r="D99" s="2" t="s">
        <v>11</v>
      </c>
      <c r="E99" s="5" t="s">
        <v>33</v>
      </c>
      <c r="F99" s="2" t="s">
        <v>34</v>
      </c>
      <c r="G99" s="2" t="s">
        <v>34</v>
      </c>
      <c r="H99" s="2" t="s">
        <v>34</v>
      </c>
      <c r="I99" s="2"/>
    </row>
    <row r="100" customFormat="false" ht="35.05" hidden="false" customHeight="false" outlineLevel="0" collapsed="false">
      <c r="A100" s="2" t="n">
        <v>99</v>
      </c>
      <c r="B100" s="2" t="s">
        <v>191</v>
      </c>
      <c r="C100" s="2" t="s">
        <v>223</v>
      </c>
      <c r="D100" s="2" t="s">
        <v>11</v>
      </c>
      <c r="E100" s="5" t="s">
        <v>33</v>
      </c>
      <c r="F100" s="2" t="s">
        <v>34</v>
      </c>
      <c r="G100" s="2" t="s">
        <v>34</v>
      </c>
      <c r="H100" s="2" t="s">
        <v>34</v>
      </c>
      <c r="I100" s="2"/>
    </row>
    <row r="101" customFormat="false" ht="35.05" hidden="false" customHeight="false" outlineLevel="0" collapsed="false">
      <c r="A101" s="2" t="n">
        <v>100</v>
      </c>
      <c r="B101" s="2" t="s">
        <v>191</v>
      </c>
      <c r="C101" s="2" t="s">
        <v>224</v>
      </c>
      <c r="D101" s="2" t="s">
        <v>11</v>
      </c>
      <c r="E101" s="5" t="s">
        <v>33</v>
      </c>
      <c r="F101" s="2" t="s">
        <v>34</v>
      </c>
      <c r="G101" s="2" t="s">
        <v>34</v>
      </c>
      <c r="H101" s="2" t="s">
        <v>34</v>
      </c>
      <c r="I101" s="2"/>
    </row>
    <row r="102" customFormat="false" ht="35.05" hidden="false" customHeight="false" outlineLevel="0" collapsed="false">
      <c r="A102" s="2" t="n">
        <v>101</v>
      </c>
      <c r="B102" s="2" t="s">
        <v>191</v>
      </c>
      <c r="C102" s="2" t="s">
        <v>225</v>
      </c>
      <c r="D102" s="2" t="s">
        <v>11</v>
      </c>
      <c r="E102" s="5" t="s">
        <v>33</v>
      </c>
      <c r="F102" s="2" t="s">
        <v>34</v>
      </c>
      <c r="G102" s="2" t="s">
        <v>34</v>
      </c>
      <c r="H102" s="2" t="s">
        <v>34</v>
      </c>
      <c r="I102" s="2"/>
    </row>
    <row r="103" customFormat="false" ht="35.05" hidden="false" customHeight="false" outlineLevel="0" collapsed="false">
      <c r="A103" s="2" t="n">
        <v>102</v>
      </c>
      <c r="B103" s="2" t="s">
        <v>191</v>
      </c>
      <c r="C103" s="2" t="s">
        <v>226</v>
      </c>
      <c r="D103" s="2" t="s">
        <v>11</v>
      </c>
      <c r="E103" s="5" t="s">
        <v>33</v>
      </c>
      <c r="F103" s="2" t="s">
        <v>34</v>
      </c>
      <c r="G103" s="2" t="s">
        <v>34</v>
      </c>
      <c r="H103" s="2" t="s">
        <v>34</v>
      </c>
      <c r="I103" s="2"/>
    </row>
    <row r="104" customFormat="false" ht="35.05" hidden="false" customHeight="false" outlineLevel="0" collapsed="false">
      <c r="A104" s="2" t="n">
        <v>103</v>
      </c>
      <c r="B104" s="2" t="s">
        <v>191</v>
      </c>
      <c r="C104" s="2" t="s">
        <v>227</v>
      </c>
      <c r="D104" s="2" t="s">
        <v>11</v>
      </c>
      <c r="E104" s="5" t="s">
        <v>33</v>
      </c>
      <c r="F104" s="2" t="s">
        <v>34</v>
      </c>
      <c r="G104" s="2" t="s">
        <v>34</v>
      </c>
      <c r="H104" s="2" t="s">
        <v>34</v>
      </c>
      <c r="I104" s="2" t="s">
        <v>228</v>
      </c>
    </row>
    <row r="105" customFormat="false" ht="35.05" hidden="false" customHeight="false" outlineLevel="0" collapsed="false">
      <c r="A105" s="2" t="n">
        <v>104</v>
      </c>
      <c r="B105" s="2" t="s">
        <v>191</v>
      </c>
      <c r="C105" s="2" t="s">
        <v>229</v>
      </c>
      <c r="D105" s="2" t="s">
        <v>11</v>
      </c>
      <c r="E105" s="5" t="s">
        <v>33</v>
      </c>
      <c r="F105" s="2" t="s">
        <v>34</v>
      </c>
      <c r="G105" s="2" t="s">
        <v>34</v>
      </c>
      <c r="H105" s="2" t="s">
        <v>34</v>
      </c>
      <c r="I105" s="2"/>
    </row>
    <row r="106" customFormat="false" ht="35.05" hidden="false" customHeight="false" outlineLevel="0" collapsed="false">
      <c r="A106" s="2" t="n">
        <v>105</v>
      </c>
      <c r="B106" s="2" t="s">
        <v>191</v>
      </c>
      <c r="C106" s="2" t="s">
        <v>230</v>
      </c>
      <c r="D106" s="2" t="s">
        <v>11</v>
      </c>
      <c r="E106" s="5" t="s">
        <v>33</v>
      </c>
      <c r="F106" s="2" t="s">
        <v>34</v>
      </c>
      <c r="G106" s="2" t="s">
        <v>34</v>
      </c>
      <c r="H106" s="2" t="s">
        <v>34</v>
      </c>
      <c r="I106" s="2"/>
    </row>
    <row r="107" customFormat="false" ht="46.25" hidden="false" customHeight="false" outlineLevel="0" collapsed="false">
      <c r="A107" s="2" t="n">
        <v>106</v>
      </c>
      <c r="B107" s="2" t="s">
        <v>191</v>
      </c>
      <c r="C107" s="2" t="s">
        <v>231</v>
      </c>
      <c r="D107" s="2" t="s">
        <v>11</v>
      </c>
      <c r="E107" s="5" t="s">
        <v>33</v>
      </c>
      <c r="F107" s="2" t="s">
        <v>34</v>
      </c>
      <c r="G107" s="2" t="s">
        <v>34</v>
      </c>
      <c r="H107" s="2" t="s">
        <v>34</v>
      </c>
      <c r="I107" s="2" t="s">
        <v>195</v>
      </c>
    </row>
    <row r="108" customFormat="false" ht="23.85" hidden="false" customHeight="false" outlineLevel="0" collapsed="false">
      <c r="A108" s="2" t="n">
        <v>107</v>
      </c>
      <c r="B108" s="2" t="s">
        <v>232</v>
      </c>
      <c r="C108" s="2" t="s">
        <v>233</v>
      </c>
      <c r="D108" s="2" t="s">
        <v>11</v>
      </c>
      <c r="E108" s="5" t="s">
        <v>33</v>
      </c>
      <c r="F108" s="2" t="s">
        <v>34</v>
      </c>
      <c r="G108" s="2" t="s">
        <v>34</v>
      </c>
      <c r="H108" s="2" t="s">
        <v>34</v>
      </c>
      <c r="I108" s="2"/>
    </row>
    <row r="109" customFormat="false" ht="23.85" hidden="false" customHeight="false" outlineLevel="0" collapsed="false">
      <c r="A109" s="2" t="n">
        <v>108</v>
      </c>
      <c r="B109" s="2" t="s">
        <v>232</v>
      </c>
      <c r="C109" s="2" t="s">
        <v>234</v>
      </c>
      <c r="D109" s="2" t="s">
        <v>11</v>
      </c>
      <c r="E109" s="5" t="s">
        <v>33</v>
      </c>
      <c r="F109" s="2" t="s">
        <v>34</v>
      </c>
      <c r="G109" s="2" t="s">
        <v>34</v>
      </c>
      <c r="H109" s="2" t="s">
        <v>34</v>
      </c>
      <c r="I109" s="2"/>
    </row>
  </sheetData>
  <autoFilter ref="A1:I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2"/>
  </cols>
  <sheetData>
    <row r="1" customFormat="false" ht="15" hidden="false" customHeight="false" outlineLevel="0" collapsed="false">
      <c r="A1" s="7" t="s">
        <v>235</v>
      </c>
    </row>
    <row r="3" customFormat="false" ht="15" hidden="false" customHeight="false" outlineLevel="0" collapsed="false">
      <c r="A3" s="8" t="s">
        <v>236</v>
      </c>
      <c r="B3" s="8" t="s">
        <v>237</v>
      </c>
      <c r="C3" s="8"/>
    </row>
    <row r="4" customFormat="false" ht="15" hidden="false" customHeight="false" outlineLevel="0" collapsed="false">
      <c r="A4" s="9" t="s">
        <v>238</v>
      </c>
      <c r="B4" s="9" t="n">
        <f aca="false">COUNTA(فیلدها!C2:C109)</f>
        <v>108</v>
      </c>
      <c r="C4" s="9"/>
    </row>
    <row r="5" customFormat="false" ht="15" hidden="false" customHeight="false" outlineLevel="0" collapsed="false">
      <c r="A5" s="9" t="s">
        <v>239</v>
      </c>
      <c r="B5" s="9" t="n">
        <f aca="false">COUNTIF(فیلدها!H2:H109,"زیاد")</f>
        <v>12</v>
      </c>
      <c r="C5" s="9"/>
    </row>
    <row r="6" customFormat="false" ht="15" hidden="false" customHeight="false" outlineLevel="0" collapsed="false">
      <c r="A6" s="9" t="s">
        <v>240</v>
      </c>
      <c r="B6" s="9" t="n">
        <f aca="false">COUNTIF(فیلدها!H2:H109,"متوسط")</f>
        <v>15</v>
      </c>
      <c r="C6" s="9"/>
    </row>
    <row r="7" customFormat="false" ht="15" hidden="false" customHeight="false" outlineLevel="0" collapsed="false">
      <c r="A7" s="9" t="s">
        <v>241</v>
      </c>
      <c r="B7" s="9" t="n">
        <f aca="false">COUNTIF(فیلدها!H2:H109,"کم")</f>
        <v>10</v>
      </c>
      <c r="C7" s="9"/>
    </row>
    <row r="8" customFormat="false" ht="15" hidden="false" customHeight="false" outlineLevel="0" collapsed="false">
      <c r="A8" s="9" t="s">
        <v>242</v>
      </c>
      <c r="B8" s="9" t="n">
        <f aca="false">COUNTIF(فیلدها!E2:E109,"حل‌نشده*")</f>
        <v>71</v>
      </c>
      <c r="C8" s="9"/>
    </row>
    <row r="9" customFormat="false" ht="15" hidden="false" customHeight="false" outlineLevel="0" collapsed="false">
      <c r="A9" s="9" t="s">
        <v>243</v>
      </c>
      <c r="B9" s="10" t="n">
        <f aca="false">IFERROR((B4-B8)/B4,0)</f>
        <v>0.342592592592593</v>
      </c>
      <c r="C9" s="9"/>
    </row>
    <row r="10" customFormat="false" ht="15" hidden="false" customHeight="false" outlineLevel="0" collapsed="false">
      <c r="A10" s="9"/>
      <c r="B10" s="9"/>
      <c r="C10" s="9"/>
    </row>
    <row r="11" customFormat="false" ht="15" hidden="false" customHeight="false" outlineLevel="0" collapsed="false">
      <c r="A11" s="8" t="s">
        <v>244</v>
      </c>
      <c r="B11" s="8" t="s">
        <v>245</v>
      </c>
      <c r="C11" s="8" t="s">
        <v>242</v>
      </c>
    </row>
    <row r="12" customFormat="false" ht="15" hidden="false" customHeight="false" outlineLevel="0" collapsed="false">
      <c r="A12" s="9" t="s">
        <v>9</v>
      </c>
      <c r="B12" s="9" t="n">
        <f aca="false">COUNTIF(فیلدها!B2:B109,A12)</f>
        <v>12</v>
      </c>
      <c r="C12" s="9" t="n">
        <f aca="false">COUNTIFS(فیلدها!B2:B109,A12,فیلدها!E2:E109,"حل‌نشده*")</f>
        <v>2</v>
      </c>
    </row>
    <row r="13" customFormat="false" ht="15" hidden="false" customHeight="false" outlineLevel="0" collapsed="false">
      <c r="A13" s="9" t="s">
        <v>62</v>
      </c>
      <c r="B13" s="9" t="n">
        <f aca="false">COUNTIF(فیلدها!B2:B109,A13)</f>
        <v>35</v>
      </c>
      <c r="C13" s="9" t="n">
        <f aca="false">COUNTIFS(فیلدها!B2:B109,A13,فیلدها!E2:E109,"حل‌نشده*")</f>
        <v>20</v>
      </c>
    </row>
    <row r="14" customFormat="false" ht="15" hidden="false" customHeight="false" outlineLevel="0" collapsed="false">
      <c r="A14" s="9" t="s">
        <v>140</v>
      </c>
      <c r="B14" s="9" t="n">
        <f aca="false">COUNTIF(فیلدها!B2:B109,A14)</f>
        <v>22</v>
      </c>
      <c r="C14" s="9" t="n">
        <f aca="false">COUNTIFS(فیلدها!B2:B109,A14,فیلدها!E2:E109,"حل‌نشده*")</f>
        <v>10</v>
      </c>
    </row>
    <row r="15" customFormat="false" ht="15" hidden="false" customHeight="false" outlineLevel="0" collapsed="false">
      <c r="A15" s="9" t="s">
        <v>191</v>
      </c>
      <c r="B15" s="9" t="n">
        <f aca="false">COUNTIF(فیلدها!B2:B109,A15)</f>
        <v>37</v>
      </c>
      <c r="C15" s="9" t="n">
        <f aca="false">COUNTIFS(فیلدها!B2:B109,A15,فیلدها!E2:E109,"حل‌نشده*")</f>
        <v>37</v>
      </c>
    </row>
    <row r="16" customFormat="false" ht="15" hidden="false" customHeight="false" outlineLevel="0" collapsed="false">
      <c r="A16" s="9" t="s">
        <v>232</v>
      </c>
      <c r="B16" s="9" t="n">
        <f aca="false">COUNTIF(فیلدها!B2:B109,A16)</f>
        <v>2</v>
      </c>
      <c r="C16" s="9" t="n">
        <f aca="false">COUNTIFS(فیلدها!B2:B109,A16,فیلدها!E2:E109,"حل‌نشده*")</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7" t="s">
        <v>246</v>
      </c>
    </row>
    <row r="2" customFormat="false" ht="23.85" hidden="false" customHeight="false" outlineLevel="0" collapsed="false">
      <c r="A2" s="11" t="s">
        <v>247</v>
      </c>
    </row>
    <row r="3" customFormat="false" ht="23.85" hidden="false" customHeight="false" outlineLevel="0" collapsed="false">
      <c r="A3" s="11" t="s">
        <v>248</v>
      </c>
    </row>
    <row r="4" customFormat="false" ht="23.85" hidden="false" customHeight="false" outlineLevel="0" collapsed="false">
      <c r="A4" s="11" t="s">
        <v>249</v>
      </c>
    </row>
    <row r="5" customFormat="false" ht="23.85" hidden="false" customHeight="false" outlineLevel="0" collapsed="false">
      <c r="A5" s="11" t="s">
        <v>250</v>
      </c>
    </row>
    <row r="6" customFormat="false" ht="23.85" hidden="false" customHeight="false" outlineLevel="0" collapsed="false">
      <c r="A6" s="11" t="s">
        <v>251</v>
      </c>
    </row>
    <row r="7" customFormat="false" ht="15" hidden="false" customHeight="false" outlineLevel="0" collapsed="false">
      <c r="A7" s="11" t="s">
        <v>252</v>
      </c>
    </row>
    <row r="8" customFormat="false" ht="23.85" hidden="false" customHeight="false" outlineLevel="0" collapsed="false">
      <c r="A8" s="11"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2026-09-29T20:16:14Z</dcterms:created>
  <dc:creator>openpyxl</dc:creator>
  <dc:description/>
  <dc:language>en-US</dc:language>
  <cp:lastModifiedBy/>
  <dcterms:modified xsi:type="dcterms:W3CDTF">2026-09-29T20:16:14Z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