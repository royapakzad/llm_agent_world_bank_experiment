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audit" sheetId="1" state="visible" r:id="rId1"/>
    <sheet xmlns:r="http://schemas.openxmlformats.org/officeDocument/2006/relationships" name="README" sheetId="2" state="visible" r:id="rId2"/>
  </sheets>
  <definedNames>
    <definedName name="_xlnm._FilterDatabase" localSheetId="0" hidden="1">'Field audit'!$A$1:$G$150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1F4E79"/>
      <sz val="11"/>
    </font>
    <font>
      <name val="Calibri"/>
      <sz val="11"/>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ecd.org/content/dam/oecd/en/publications/reports/2023/06/government-at-a-glance-2023-country-notes_a95d10b5/united-states_03d36b2a/015a6beb-en.pdf" TargetMode="External" Id="rId1"/><Relationship Type="http://schemas.openxmlformats.org/officeDocument/2006/relationships/hyperlink" Target="https://www.wto.org/english/tratop_e/gproc_e/memobs_e.htm" TargetMode="External" Id="rId2"/><Relationship Type="http://schemas.openxmlformats.org/officeDocument/2006/relationships/hyperlink" Target="https://datahelpdesk.worldbank.org/knowledgebase/articles/906519-worldbankcountryandlendinggroups" TargetMode="External" Id="rId3"/><Relationship Type="http://schemas.openxmlformats.org/officeDocument/2006/relationships/hyperlink" Target="https://api.worldbank.org/v2/country/US/indicator/SP.POP.TOTL?format=json&amp;date=2024" TargetMode="External" Id="rId4"/><Relationship Type="http://schemas.openxmlformats.org/officeDocument/2006/relationships/hyperlink" Target="https://api.worldbank.org/v2/country/US/indicator/NY.GNP.ATLS.CD?format=json&amp;date=2024" TargetMode="External" Id="rId5"/><Relationship Type="http://schemas.openxmlformats.org/officeDocument/2006/relationships/hyperlink" Target="https://api.worldbank.org/v2/country/US/indicator/NY.GNP.PCAP.CD?format=json&amp;date=2024" TargetMode="External" Id="rId6"/><Relationship Type="http://schemas.openxmlformats.org/officeDocument/2006/relationships/hyperlink" Target="https://api.worldbank.org/v2/country/US/indicator/NY.GDP.MKTP.CD?format=json&amp;date=2024" TargetMode="External" Id="rId7"/><Relationship Type="http://schemas.openxmlformats.org/officeDocument/2006/relationships/hyperlink" Target="https://www.whitehouse.gov/omb/management/office-federal-procurement-policy/" TargetMode="External" Id="rId8"/><Relationship Type="http://schemas.openxmlformats.org/officeDocument/2006/relationships/hyperlink" Target="https://www.gsa.gov/buy-through-us/purchasing-programs?topnav=buy-through-us" TargetMode="External" Id="rId9"/><Relationship Type="http://schemas.openxmlformats.org/officeDocument/2006/relationships/hyperlink" Target="http://gsa.gov/system/files/Cleared%20-%20GSA%20AWTF%20Legislative%20Proposal.pdf" TargetMode="External" Id="rId10"/><Relationship Type="http://schemas.openxmlformats.org/officeDocument/2006/relationships/hyperlink" Target="https://www.fai.gov/certification/fac-c" TargetMode="External" Id="rId11"/><Relationship Type="http://schemas.openxmlformats.org/officeDocument/2006/relationships/hyperlink" Target="https://www.gsa.gov/about-gsa/organization?footer=gsa" TargetMode="External" Id="rId12"/><Relationship Type="http://schemas.openxmlformats.org/officeDocument/2006/relationships/hyperlink" Target="https://www.gsa.gov/buy-through-us/purchasing-programs?topnav=buy-through-us" TargetMode="External" Id="rId13"/><Relationship Type="http://schemas.openxmlformats.org/officeDocument/2006/relationships/hyperlink" Target="https://www.whitehouse.gov/omb/management/office-federal-procurement-policy/" TargetMode="External" Id="rId14"/><Relationship Type="http://schemas.openxmlformats.org/officeDocument/2006/relationships/hyperlink" Target="https://www.gsa.gov/about-gsa/organization?footer=gsa" TargetMode="External" Id="rId15"/><Relationship Type="http://schemas.openxmlformats.org/officeDocument/2006/relationships/hyperlink" Target="https://www.gsa.gov" TargetMode="External" Id="rId16"/><Relationship Type="http://schemas.openxmlformats.org/officeDocument/2006/relationships/hyperlink" Target="https://www.federalregister.gov/documents/full_text/html/2026/03/13/2026-04912.html" TargetMode="External" Id="rId17"/><Relationship Type="http://schemas.openxmlformats.org/officeDocument/2006/relationships/hyperlink" Target="https://acquisition.gov/content/publication-fac-2025-06" TargetMode="External" Id="rId18"/><Relationship Type="http://schemas.openxmlformats.org/officeDocument/2006/relationships/hyperlink" Target="https://www.acquisition.gov/far/part-7" TargetMode="External" Id="rId19"/><Relationship Type="http://schemas.openxmlformats.org/officeDocument/2006/relationships/hyperlink" Target="https://www.acquisition.gov/far/7.105" TargetMode="External" Id="rId20"/><Relationship Type="http://schemas.openxmlformats.org/officeDocument/2006/relationships/hyperlink" Target="https://www.acquisition.gov/far/part-15" TargetMode="External" Id="rId21"/><Relationship Type="http://schemas.openxmlformats.org/officeDocument/2006/relationships/hyperlink" Target="https://www.acquisition.gov/far/23.103" TargetMode="External" Id="rId22"/><Relationship Type="http://schemas.openxmlformats.org/officeDocument/2006/relationships/hyperlink" Target="https://uscode.house.gov/view.xhtml?req=granuleid:USC-2007-title15-section644&amp;num=0&amp;edition=2007" TargetMode="External" Id="rId23"/><Relationship Type="http://schemas.openxmlformats.org/officeDocument/2006/relationships/hyperlink" Target="https://acquisition.gov/far/28.101-1" TargetMode="External" Id="rId24"/><Relationship Type="http://schemas.openxmlformats.org/officeDocument/2006/relationships/hyperlink" Target="https://uscode.house.gov/view.xhtml?req=(title:41%20section:8301%20edition:prelim" TargetMode="External" Id="rId25"/><Relationship Type="http://schemas.openxmlformats.org/officeDocument/2006/relationships/hyperlink" Target="https://www.acquisition.gov/far/52.204-7" TargetMode="External" Id="rId26"/><Relationship Type="http://schemas.openxmlformats.org/officeDocument/2006/relationships/hyperlink" Target="https://www.acquisition.gov/far/part-18" TargetMode="External" Id="rId27"/><Relationship Type="http://schemas.openxmlformats.org/officeDocument/2006/relationships/hyperlink" Target="https://login.acquisition.gov/node/45476/printable/pdf" TargetMode="External" Id="rId28"/><Relationship Type="http://schemas.openxmlformats.org/officeDocument/2006/relationships/hyperlink" Target="https://uscode.house.gov/view.xhtml?path=&amp;req=10-ARMED+FORCES&amp;f=treesort&amp;fq=true&amp;num=4899&amp;hl=true&amp;edition=prelim" TargetMode="External" Id="rId29"/><Relationship Type="http://schemas.openxmlformats.org/officeDocument/2006/relationships/hyperlink" Target="https://www.acquisition.gov/far/33.104" TargetMode="External" Id="rId30"/><Relationship Type="http://schemas.openxmlformats.org/officeDocument/2006/relationships/hyperlink" Target="https://www.acquisition.gov/far/33.104" TargetMode="External" Id="rId31"/><Relationship Type="http://schemas.openxmlformats.org/officeDocument/2006/relationships/hyperlink" Target="https://www.acquisition.gov/far/33.104" TargetMode="External" Id="rId32"/><Relationship Type="http://schemas.openxmlformats.org/officeDocument/2006/relationships/hyperlink" Target="https://www.acquisition.gov/far/52.214-16" TargetMode="External" Id="rId33"/><Relationship Type="http://schemas.openxmlformats.org/officeDocument/2006/relationships/hyperlink" Target="https://www.acquisition.gov/far/52.214-16" TargetMode="External" Id="rId34"/><Relationship Type="http://schemas.openxmlformats.org/officeDocument/2006/relationships/hyperlink" Target="https://www.acquisition.gov/far/52.214-16" TargetMode="External" Id="rId35"/><Relationship Type="http://schemas.openxmlformats.org/officeDocument/2006/relationships/hyperlink" Target="https://www.acquisition.gov/far/part-5" TargetMode="External" Id="rId36"/><Relationship Type="http://schemas.openxmlformats.org/officeDocument/2006/relationships/hyperlink" Target="https://www.acquisition.gov/far/part-5" TargetMode="External" Id="rId37"/><Relationship Type="http://schemas.openxmlformats.org/officeDocument/2006/relationships/hyperlink" Target="https://www.acquisition.gov/far/part-5" TargetMode="External" Id="rId38"/><Relationship Type="http://schemas.openxmlformats.org/officeDocument/2006/relationships/hyperlink" Target="https://www.whitehouse.gov/omb/management/office-federal-procurement-policy/" TargetMode="External" Id="rId39"/><Relationship Type="http://schemas.openxmlformats.org/officeDocument/2006/relationships/hyperlink" Target="https://www.acquisition.gov/browse/index/far" TargetMode="External" Id="rId40"/><Relationship Type="http://schemas.openxmlformats.org/officeDocument/2006/relationships/hyperlink" Target="https://www.congress.gov/bill/98th-congress/house-bill/5184" TargetMode="External" Id="rId41"/><Relationship Type="http://schemas.openxmlformats.org/officeDocument/2006/relationships/hyperlink" Target="https://www.acquisition.gov/far/part-15" TargetMode="External" Id="rId42"/><Relationship Type="http://schemas.openxmlformats.org/officeDocument/2006/relationships/hyperlink" Target="https://www.acquisition.gov/far/14.402-1" TargetMode="External" Id="rId43"/><Relationship Type="http://schemas.openxmlformats.org/officeDocument/2006/relationships/hyperlink" Target="https://www.acquisition.gov/threshold-changes" TargetMode="External" Id="rId44"/><Relationship Type="http://schemas.openxmlformats.org/officeDocument/2006/relationships/hyperlink" Target="https://www.acquisition.gov/threshold-changes" TargetMode="External" Id="rId45"/><Relationship Type="http://schemas.openxmlformats.org/officeDocument/2006/relationships/hyperlink" Target="https://www.acquisition.gov/threshold-changes" TargetMode="External" Id="rId46"/><Relationship Type="http://schemas.openxmlformats.org/officeDocument/2006/relationships/hyperlink" Target="https://www.acquisition.gov/threshold-changes" TargetMode="External" Id="rId47"/><Relationship Type="http://schemas.openxmlformats.org/officeDocument/2006/relationships/hyperlink" Target="https://www.acquisition.gov/threshold-changes" TargetMode="External" Id="rId48"/><Relationship Type="http://schemas.openxmlformats.org/officeDocument/2006/relationships/hyperlink" Target="https://www.fsd.gov/kb/en/quick-start-guide-contract-registrations?id=kb_article_view&amp;sysparm_article=KB0012064" TargetMode="External" Id="rId49"/><Relationship Type="http://schemas.openxmlformats.org/officeDocument/2006/relationships/hyperlink" Target="https://www.acquisition.gov/sites/default/files/caac/deviation/DOE_Deviation_CAAC_2020-04_Supplement_1.pdf" TargetMode="External" Id="rId50"/><Relationship Type="http://schemas.openxmlformats.org/officeDocument/2006/relationships/hyperlink" Target="https://www.worldbank.org/en/projects-operations/products-and-services/brief/systematic-tracking-of-exchanges-in-procurement-step.print" TargetMode="External" Id="rId51"/><Relationship Type="http://schemas.openxmlformats.org/officeDocument/2006/relationships/hyperlink" Target="https://www.worldbank.org/en/projects-operations/products-and-services/brief/systematic-tracking-of-exchanges-in-procurement-step.print" TargetMode="External" Id="rId52"/><Relationship Type="http://schemas.openxmlformats.org/officeDocument/2006/relationships/hyperlink" Target="https://www.worldbank.org/en/projects-operations/products-and-services/brief/systematic-tracking-of-exchanges-in-procurement-step.print" TargetMode="External" Id="rId53"/><Relationship Type="http://schemas.openxmlformats.org/officeDocument/2006/relationships/hyperlink" Target="https://www.fpds.gov/wiki/index.php?title=FPDS-NG_FAQ&amp;diff=cur&amp;oldid=3807" TargetMode="External" Id="rId54"/><Relationship Type="http://schemas.openxmlformats.org/officeDocument/2006/relationships/hyperlink" Target="https://www.gsa.gov/real-estate/for-businesses-seeking-opportunities/how-to-compete-for-a-gsa-lease" TargetMode="External" Id="rId55"/><Relationship Type="http://schemas.openxmlformats.org/officeDocument/2006/relationships/hyperlink" Target="https://www.dol.gov/general/business-ccr" TargetMode="External" Id="rId56"/><Relationship Type="http://schemas.openxmlformats.org/officeDocument/2006/relationships/hyperlink" Target="https://www.gsa.gov/real-estate/for-businesses-seeking-opportunities/how-to-compete-for-a-gsa-lease" TargetMode="External" Id="rId57"/><Relationship Type="http://schemas.openxmlformats.org/officeDocument/2006/relationships/hyperlink" Target="https://www.open-contracting.org/wp-content/uploads/2016/06/OCP_US_3Steps_June2016.pdf" TargetMode="External" Id="rId58"/><Relationship Type="http://schemas.openxmlformats.org/officeDocument/2006/relationships/hyperlink" Target="https://www.fsd.gov/gsafsd_sp/en/contract-opportunities-what-is-a-controlled-attachment-on-a-sam-gov?id=kb_article_view&amp;sysparm_article=KB0020241" TargetMode="External" Id="rId59"/><Relationship Type="http://schemas.openxmlformats.org/officeDocument/2006/relationships/hyperlink" Target="https://files.gao.gov/reports/GAO-25-107469/index.html" TargetMode="External" Id="rId60"/><Relationship Type="http://schemas.openxmlformats.org/officeDocument/2006/relationships/hyperlink" Target="https://www.fpds.gov/wiki/index.php?title=FPDS-NG_FAQ&amp;diff=cur&amp;oldid=3807" TargetMode="External" Id="rId61"/><Relationship Type="http://schemas.openxmlformats.org/officeDocument/2006/relationships/hyperlink" Target="https://www.fpds.gov/wiki/index.php?title=FPDS-NG_FAQ&amp;diff=cur&amp;oldid=3807" TargetMode="External" Id="rId62"/><Relationship Type="http://schemas.openxmlformats.org/officeDocument/2006/relationships/hyperlink" Target="https://www.fai.gov/federal-acquisition-certification-fac-continuous-learning-cl" TargetMode="External" Id="rId63"/><Relationship Type="http://schemas.openxmlformats.org/officeDocument/2006/relationships/hyperlink" Target="https://files.gao.gov/reports/GAO-25-107469/index.html" TargetMode="External" Id="rId64"/><Relationship Type="http://schemas.openxmlformats.org/officeDocument/2006/relationships/hyperlink" Target="https://files.gao.gov/reports/GAO-25-107469/index.html" TargetMode="External" Id="rId65"/><Relationship Type="http://schemas.openxmlformats.org/officeDocument/2006/relationships/hyperlink" Target="https://files.gao.gov/reports/GAO-25-107469/index.html" TargetMode="External" Id="rId66"/><Relationship Type="http://schemas.openxmlformats.org/officeDocument/2006/relationships/hyperlink" Target="https://www.energy.gov/management/articles/rollout-system-award-management-sam-general-services-administration-gsa" TargetMode="External" Id="rId67"/><Relationship Type="http://schemas.openxmlformats.org/officeDocument/2006/relationships/hyperlink" Target="https://www.acquisition.gov/far/19.102?&amp;searchTerms=NAICS+CODE" TargetMode="External" Id="rId68"/><Relationship Type="http://schemas.openxmlformats.org/officeDocument/2006/relationships/hyperlink" Target="https://www.gsa.gov/system/files/SAMgov%20by%20the%20Numbers.pdf" TargetMode="External" Id="rId69"/><Relationship Type="http://schemas.openxmlformats.org/officeDocument/2006/relationships/hyperlink" Target="https://files.gao.gov/reports/GAO-25-107469/index.html" TargetMode="External" Id="rId70"/><Relationship Type="http://schemas.openxmlformats.org/officeDocument/2006/relationships/hyperlink" Target="https://www.gao.gov/blog/snapshot-government-wide-contracting-fy-2024-interactive-dashboard" TargetMode="External" Id="rId71"/><Relationship Type="http://schemas.openxmlformats.org/officeDocument/2006/relationships/hyperlink" Target="https://www.gao.gov/blog/snapshot-government-wide-contracting-fy-2024-interactive-dashboard" TargetMode="External" Id="rId72"/><Relationship Type="http://schemas.openxmlformats.org/officeDocument/2006/relationships/hyperlink" Target="https://www.gao.gov/blog/snapshot-government-wide-contracting-fy-2024-interactive-dashboard" TargetMode="External" Id="rId73"/><Relationship Type="http://schemas.openxmlformats.org/officeDocument/2006/relationships/hyperlink" Target="https://www.gao.gov/blog/snapshot-government-wide-contracting-fy-2024-interactive-dashboard" TargetMode="External" Id="rId74"/><Relationship Type="http://schemas.openxmlformats.org/officeDocument/2006/relationships/hyperlink" Target="https://www.gao.gov/blog/snapshot-government-wide-contracting-fy-2024-interactive-dashboard" TargetMode="External" Id="rId75"/><Relationship Type="http://schemas.openxmlformats.org/officeDocument/2006/relationships/hyperlink" Target="https://www.gsa.gov/system/files/Final%20Data%20Report_%20%20FY%202024%20FPDS%20GSA%20Report.pdf" TargetMode="External" Id="rId76"/><Relationship Type="http://schemas.openxmlformats.org/officeDocument/2006/relationships/hyperlink" Target="https://www.congress.gov/crs_external_products/IN/PDF/IN12018/IN12018.10.pdf" TargetMode="External" Id="rId77"/><Relationship Type="http://schemas.openxmlformats.org/officeDocument/2006/relationships/hyperlink" Target="https://www.congress.gov/crs-product/IF12558" TargetMode="External" Id="rId78"/><Relationship Type="http://schemas.openxmlformats.org/officeDocument/2006/relationships/hyperlink" Target="https://www.acquisition.gov/far/15.101-2" TargetMode="External" Id="rId79"/><Relationship Type="http://schemas.openxmlformats.org/officeDocument/2006/relationships/hyperlink" Target="https://www.acquisition.gov/far/15.101-2" TargetMode="External" Id="rId80"/><Relationship Type="http://schemas.openxmlformats.org/officeDocument/2006/relationships/hyperlink" Target="https://www.acquisition.gov/far/15.101-2" TargetMode="External" Id="rId81"/><Relationship Type="http://schemas.openxmlformats.org/officeDocument/2006/relationships/hyperlink" Target="https://www.gao.gov/products/gao-25-900611" TargetMode="External" Id="rId82"/><Relationship Type="http://schemas.openxmlformats.org/officeDocument/2006/relationships/hyperlink" Target="https://www.gao.gov/products/gao-25-900611" TargetMode="External" Id="rId83"/><Relationship Type="http://schemas.openxmlformats.org/officeDocument/2006/relationships/hyperlink" Target="https://www.gao.gov/products/gao-25-900611" TargetMode="External" Id="rId84"/><Relationship Type="http://schemas.openxmlformats.org/officeDocument/2006/relationships/hyperlink" Target="https://files.gao.gov/reports/GAO-25-107469/index.html" TargetMode="External" Id="rId85"/><Relationship Type="http://schemas.openxmlformats.org/officeDocument/2006/relationships/hyperlink" Target="https://www.acquisition.gov/far/part-23" TargetMode="External" Id="rId86"/><Relationship Type="http://schemas.openxmlformats.org/officeDocument/2006/relationships/hyperlink" Target="https://www.acquisition.gov/far/part-23" TargetMode="External" Id="rId87"/><Relationship Type="http://schemas.openxmlformats.org/officeDocument/2006/relationships/hyperlink" Target="https://www.acquisition.gov/far/part-23" TargetMode="External" Id="rId88"/><Relationship Type="http://schemas.openxmlformats.org/officeDocument/2006/relationships/hyperlink" Target="https://www.acquisition.gov/far/part-23" TargetMode="External" Id="rId89"/><Relationship Type="http://schemas.openxmlformats.org/officeDocument/2006/relationships/hyperlink" Target="https://www.sustainability.gov/" TargetMode="External" Id="rId90"/><Relationship Type="http://schemas.openxmlformats.org/officeDocument/2006/relationships/hyperlink" Target="https://www.acquisition.gov/far/part-23" TargetMode="External" Id="rId91"/><Relationship Type="http://schemas.openxmlformats.org/officeDocument/2006/relationships/hyperlink" Target="https://www.acquisition.gov/far/part-23" TargetMode="External" Id="rId92"/><Relationship Type="http://schemas.openxmlformats.org/officeDocument/2006/relationships/hyperlink" Target="https://www.acquisition.gov/far/part-23" TargetMode="External" Id="rId93"/><Relationship Type="http://schemas.openxmlformats.org/officeDocument/2006/relationships/hyperlink" Target="https://www.acquisition.gov/far/part-23" TargetMode="External" Id="rId94"/><Relationship Type="http://schemas.openxmlformats.org/officeDocument/2006/relationships/hyperlink" Target="https://www.acquisition.gov/far/part-23" TargetMode="External" Id="rId95"/><Relationship Type="http://schemas.openxmlformats.org/officeDocument/2006/relationships/hyperlink" Target="https://www.acquisition.gov/far/part-23" TargetMode="External" Id="rId96"/><Relationship Type="http://schemas.openxmlformats.org/officeDocument/2006/relationships/hyperlink" Target="https://www.commerce.gov/oam/resources/sustainable-acquisition-tools-training-and-tips" TargetMode="External" Id="rId97"/><Relationship Type="http://schemas.openxmlformats.org/officeDocument/2006/relationships/hyperlink" Target="https://www.acquisition.gov/far/part-23" TargetMode="External" Id="rId98"/><Relationship Type="http://schemas.openxmlformats.org/officeDocument/2006/relationships/hyperlink" Target="https://www.acquisition.gov/far/part-23" TargetMode="External" Id="rId99"/><Relationship Type="http://schemas.openxmlformats.org/officeDocument/2006/relationships/hyperlink" Target="https://www.ecfr.gov/api/renderer/v1/content/enhanced/2024-08-29/title-41?subtitle=C&amp;chapter=102&amp;subchapter=B&amp;part=102-36" TargetMode="External" Id="rId100"/><Relationship Type="http://schemas.openxmlformats.org/officeDocument/2006/relationships/hyperlink" Target="https://www.ecfr.gov/api/renderer/v1/content/enhanced/2024-08-29/title-41?subtitle=C&amp;chapter=102&amp;subchapter=B&amp;part=102-36" TargetMode="External" Id="rId101"/><Relationship Type="http://schemas.openxmlformats.org/officeDocument/2006/relationships/hyperlink" Target="https://files.gao.gov/reports/GAO-25-107469/index.html" TargetMode="External" Id="rId102"/><Relationship Type="http://schemas.openxmlformats.org/officeDocument/2006/relationships/hyperlink" Target="https://files.gao.gov/reports/GAO-25-107469/index.html" TargetMode="External" Id="rId103"/><Relationship Type="http://schemas.openxmlformats.org/officeDocument/2006/relationships/hyperlink" Target="https://files.gao.gov/reports/GAO-25-107469/index.html" TargetMode="External" Id="rId104"/><Relationship Type="http://schemas.openxmlformats.org/officeDocument/2006/relationships/hyperlink" Target="https://files.gao.gov/reports/GAO-25-107469/index.html" TargetMode="External" Id="rId105"/><Relationship Type="http://schemas.openxmlformats.org/officeDocument/2006/relationships/hyperlink" Target="https://files.gao.gov/reports/GAO-25-107469/index.html" TargetMode="External" Id="rId106"/><Relationship Type="http://schemas.openxmlformats.org/officeDocument/2006/relationships/hyperlink" Target="https://files.gao.gov/reports/GAO-25-107469/index.html" TargetMode="External" Id="rId107"/><Relationship Type="http://schemas.openxmlformats.org/officeDocument/2006/relationships/hyperlink" Target="https://files.gao.gov/reports/GAO-25-107469/index.html" TargetMode="External" Id="rId108"/><Relationship Type="http://schemas.openxmlformats.org/officeDocument/2006/relationships/hyperlink" Target="https://files.gao.gov/reports/GAO-25-107469/index.html" TargetMode="External" Id="rId109"/><Relationship Type="http://schemas.openxmlformats.org/officeDocument/2006/relationships/hyperlink" Target="https://www.acquisition.gov/far/part-23" TargetMode="External" Id="rId110"/><Relationship Type="http://schemas.openxmlformats.org/officeDocument/2006/relationships/hyperlink" Target="https://www.sba.gov/federal-contracting/contracting-assistance-programs/8a-business-development-program" TargetMode="External" Id="rId111"/><Relationship Type="http://schemas.openxmlformats.org/officeDocument/2006/relationships/hyperlink" Target="https://www.acquisition.gov/far/part-22" TargetMode="External" Id="rId112"/><Relationship Type="http://schemas.openxmlformats.org/officeDocument/2006/relationships/hyperlink" Target="https://www.acquisition.gov/far/part-22" TargetMode="External" Id="rId113"/><Relationship Type="http://schemas.openxmlformats.org/officeDocument/2006/relationships/hyperlink" Target="https://www.acquisition.gov/far/part-22" TargetMode="External" Id="rId114"/><Relationship Type="http://schemas.openxmlformats.org/officeDocument/2006/relationships/hyperlink" Target="https://www.acquisition.gov/far/part-22" TargetMode="External" Id="rId115"/><Relationship Type="http://schemas.openxmlformats.org/officeDocument/2006/relationships/hyperlink" Target="https://www.congress.gov/crs_external_products/IN/PDF/IN12018/IN12018.10.pdf" TargetMode="External" Id="rId116"/><Relationship Type="http://schemas.openxmlformats.org/officeDocument/2006/relationships/hyperlink" Target="https://www.sba.gov/article/2026/06/25/sba-releases-fy25-scorecard-small-business-contracting" TargetMode="External" Id="rId117"/><Relationship Type="http://schemas.openxmlformats.org/officeDocument/2006/relationships/hyperlink" Target="https://www.congress.gov/crs_external_products/IN/PDF/IN12018/IN12018.10.pdf" TargetMode="External" Id="rId118"/><Relationship Type="http://schemas.openxmlformats.org/officeDocument/2006/relationships/hyperlink" Target="https://www.congress.gov/crs_external_products/IN/PDF/IN12018/IN12018.10.pdf" TargetMode="External" Id="rId119"/><Relationship Type="http://schemas.openxmlformats.org/officeDocument/2006/relationships/hyperlink" Target="https://www.sba.gov/article/2026/06/25/sba-releases-fy25-scorecard-small-business-contracting" TargetMode="External" Id="rId120"/><Relationship Type="http://schemas.openxmlformats.org/officeDocument/2006/relationships/hyperlink" Target="https://www.congress.gov/crs_external_products/IN/PDF/IN12018/IN12018.10.pdf" TargetMode="External" Id="rId121"/><Relationship Type="http://schemas.openxmlformats.org/officeDocument/2006/relationships/hyperlink" Target="https://www.congress.gov/crs_external_products/R/PDF/R46748/R46748.5.pdf" TargetMode="External" Id="rId122"/><Relationship Type="http://schemas.openxmlformats.org/officeDocument/2006/relationships/hyperlink" Target="https://www.congress.gov/crs_external_products/R/PDF/R46748/R46748.5.pdf" TargetMode="External" Id="rId123"/><Relationship Type="http://schemas.openxmlformats.org/officeDocument/2006/relationships/hyperlink" Target="https://www.fai.gov/sites/fai/files/FAI-2007-Workforce-Annual-Report.pdf" TargetMode="External" Id="rId124"/><Relationship Type="http://schemas.openxmlformats.org/officeDocument/2006/relationships/hyperlink" Target="https://www.acquisition.gov/sites/default/files/current/far/compiled_html/subpart_19.15.html" TargetMode="External" Id="rId125"/></Relationships>
</file>

<file path=xl/worksheets/sheet1.xml><?xml version="1.0" encoding="utf-8"?>
<worksheet xmlns="http://schemas.openxmlformats.org/spreadsheetml/2006/main">
  <sheetPr>
    <outlinePr summaryBelow="1" summaryRight="1"/>
    <pageSetUpPr fitToPage="1"/>
  </sheetPr>
  <dimension ref="A1:G150"/>
  <sheetViews>
    <sheetView workbookViewId="0">
      <pane ySplit="1" topLeftCell="A2" activePane="bottomLeft" state="frozen"/>
      <selection pane="bottomLeft" activeCell="A1" sqref="A1"/>
    </sheetView>
  </sheetViews>
  <sheetFormatPr baseColWidth="8" defaultRowHeight="15"/>
  <cols>
    <col width="34" customWidth="1" min="1" max="1"/>
    <col width="48" customWidth="1" min="2" max="2"/>
    <col width="30" customWidth="1" min="3" max="3"/>
    <col width="72" customWidth="1" min="4" max="4"/>
    <col width="60" customWidth="1" min="5" max="5"/>
    <col width="26" customWidth="1" min="6" max="6"/>
    <col width="72" customWidth="1" min="7" max="7"/>
  </cols>
  <sheetData>
    <row r="1">
      <c r="A1" s="1" t="inlineStr">
        <is>
          <t>Section</t>
        </is>
      </c>
      <c r="B1" s="1" t="inlineStr">
        <is>
          <t>Field name</t>
        </is>
      </c>
      <c r="C1" s="1" t="inlineStr">
        <is>
          <t>Current value on portal</t>
        </is>
      </c>
      <c r="D1" s="1" t="inlineStr">
        <is>
          <t>Proposed value</t>
        </is>
      </c>
      <c r="E1" s="1" t="inlineStr">
        <is>
          <t>Source (with URL)</t>
        </is>
      </c>
      <c r="F1" s="1" t="inlineStr">
        <is>
          <t>Source date</t>
        </is>
      </c>
      <c r="G1" s="1" t="inlineStr">
        <is>
          <t>Notes</t>
        </is>
      </c>
    </row>
    <row r="2" ht="104" customHeight="1">
      <c r="A2" s="2" t="inlineStr">
        <is>
          <t>Country Information</t>
        </is>
      </c>
      <c r="B2" s="2" t="inlineStr">
        <is>
          <t>Percentage(%) of Gross Domestic Product as Public Procurement Expenditure</t>
        </is>
      </c>
      <c r="C2" s="2" t="inlineStr">
        <is>
          <t>N/A</t>
        </is>
      </c>
      <c r="D2" s="2" t="inlineStr">
        <is>
          <t>9.9%</t>
        </is>
      </c>
      <c r="E2" s="2" t="inlineStr">
        <is>
          <t>OECD, Government at a Glance 2023 - United States country note: https://www.oecd.org/content/dam/oecd/en/publications/reports/2023/06/government-at-a-glance-2023-country-notes_a95d10b5/united-states_03d36b2a/015a6beb-en.pdf</t>
        </is>
      </c>
      <c r="F2" s="2" t="inlineStr">
        <is>
          <t>June 2023 (data year 2021)</t>
        </is>
      </c>
      <c r="G2" s="2" t="inlineStr">
        <is>
          <t>Scope: GENERAL government procurement (federal + state + local + social security funds), SNA definition = intermediate consumption + gross fixed capital formation + social transfers in kind via market producers; public corporations excluded. OECD average was 12.9% (2021). The Government at a Glance 2025 US country note does not publish an updated US-specific figure, so 9.9% (2021) is the latest official US-specific figure. No official US-government-published single ratio exists; a federal-only ratio would require an ad-hoc USASpending/BEA calculation and is not proposed.</t>
        </is>
      </c>
    </row>
    <row r="3" ht="65" customHeight="1">
      <c r="A3" s="2" t="inlineStr">
        <is>
          <t>Country Information</t>
        </is>
      </c>
      <c r="B3" s="2" t="inlineStr">
        <is>
          <t>Membership in international organizations</t>
        </is>
      </c>
      <c r="C3" s="2" t="inlineStr">
        <is>
          <t>N/A</t>
        </is>
      </c>
      <c r="D3" s="2" t="inlineStr">
        <is>
          <t>WTO Member; Party to the WTO Agreement on Government Procurement (GPA 2012; GPA 1994 since 1 Jan 1996, GPA 2012 since 6 Apr 2014)</t>
        </is>
      </c>
      <c r="E3" s="2" t="inlineStr">
        <is>
          <t>WTO, Agreement on Government Procurement: Parties, observers and accessions: https://www.wto.org/english/tratop_e/gproc_e/memobs_e.htm ; USTR, WTO Government Procurement Agreement: https://ustr.gov/issue-areas/government-procurement/wto-government-procurement-agreement</t>
        </is>
      </c>
      <c r="F3" s="2" t="inlineStr">
        <is>
          <t>WTO page current as checked 29 Sep 2026; USTR page current (revised GPA adopted 30 Mar 2012, in force 6 Apr 2014)</t>
        </is>
      </c>
      <c r="G3" s="2" t="inlineStr">
        <is>
          <t>wto.org lists 22 GPA parties including the United States of America (GPA 1994: 1 Jan 1996; GPA 2012: 6 Apr 2014). Caveat: the USTR page says 21 Parties and appears not yet updated for North Macedonia (acceded 30 Oct 2023); the WTO figure is authoritative.</t>
        </is>
      </c>
    </row>
    <row r="4" ht="65" customHeight="1">
      <c r="A4" s="2" t="inlineStr">
        <is>
          <t>Country Information</t>
        </is>
      </c>
      <c r="B4" s="2" t="inlineStr">
        <is>
          <t>Income level</t>
        </is>
      </c>
      <c r="C4" s="2" t="inlineStr">
        <is>
          <t>High-income= GNI/capita of $12,236 or more</t>
        </is>
      </c>
      <c r="D4" s="2" t="inlineStr">
        <is>
          <t>High income - GNI per capita (Atlas method) of $14,375 or more (World Bank FY2027 classification, effective 1 July 2026)</t>
        </is>
      </c>
      <c r="E4" s="2" t="inlineStr">
        <is>
          <t>World Bank Data Help Desk, World Bank Country and Lending Groups: https://datahelpdesk.worldbank.org/knowledgebase/articles/906519-worldbankcountryandlendinggroups</t>
        </is>
      </c>
      <c r="F4" s="2" t="inlineStr">
        <is>
          <t>July 2026 (FY2027 classification released 1 July 2026; current as of 29 Sep 2026)</t>
        </is>
      </c>
      <c r="G4" s="2" t="inlineStr">
        <is>
          <t>OUTDATED on portal: $12,236 was the FY2017 threshold (effective 1 July 2017). The FY2026 classification (threshold $13,935) has been superseded; the effective classification is FY2027 (1 July 2026 - 30 June 2027, threshold $14,375 based on 2025 GNI per capita). The United States is listed among high-income economies.</t>
        </is>
      </c>
    </row>
    <row r="5" ht="39" customHeight="1">
      <c r="A5" s="2" t="inlineStr">
        <is>
          <t>Country Information</t>
        </is>
      </c>
      <c r="B5" s="2" t="inlineStr">
        <is>
          <t>Population</t>
        </is>
      </c>
      <c r="C5" s="2" t="inlineStr">
        <is>
          <t>333,271,411</t>
        </is>
      </c>
      <c r="D5" s="2" t="inlineStr">
        <is>
          <t>340,003,797 (2024)</t>
        </is>
      </c>
      <c r="E5" s="2" t="inlineStr">
        <is>
          <t>World Bank WDI, indicator SP.POP.TOTL: https://api.worldbank.org/v2/country/US/indicator/SP.POP.TOTL?format=json&amp;date=2024</t>
        </is>
      </c>
      <c r="F5" s="2" t="inlineStr">
        <is>
          <t>WDI vintage lastupdated 2026-07-13; data year 2024</t>
        </is>
      </c>
      <c r="G5" s="2" t="inlineStr">
        <is>
          <t>OUTDATED on portal (2022 figure). De facto midyear population estimate (UN World Population Prospects + national sources). 2025 not yet published in WDI.</t>
        </is>
      </c>
    </row>
    <row r="6" ht="39" customHeight="1">
      <c r="A6" s="2" t="inlineStr">
        <is>
          <t>Country Information</t>
        </is>
      </c>
      <c r="B6" s="2" t="inlineStr">
        <is>
          <t>Gross national income (in USD)</t>
        </is>
      </c>
      <c r="C6" s="2" t="inlineStr">
        <is>
          <t>25,926,000,000,000</t>
        </is>
      </c>
      <c r="D6" s="2" t="inlineStr">
        <is>
          <t>28,190,684,242,824 (2024, Atlas method, current US$)</t>
        </is>
      </c>
      <c r="E6" s="2" t="inlineStr">
        <is>
          <t>World Bank WDI, indicator NY.GNP.ATLS.CD: https://api.worldbank.org/v2/country/US/indicator/NY.GNP.ATLS.CD?format=json&amp;date=2024</t>
        </is>
      </c>
      <c r="F6" s="2" t="inlineStr">
        <is>
          <t>WDI vintage lastupdated 2026-07-13; data year 2024</t>
        </is>
      </c>
      <c r="G6" s="2" t="inlineStr">
        <is>
          <t>OUTDATED on portal (2022 figure). API returned 28190684242823.8; rounded. Atlas-method conversion. Cross-check: 82,910 x 340,003,797 = ~28.19T.</t>
        </is>
      </c>
    </row>
    <row r="7" ht="39" customHeight="1">
      <c r="A7" s="2" t="inlineStr">
        <is>
          <t>Country Information</t>
        </is>
      </c>
      <c r="B7" s="2" t="inlineStr">
        <is>
          <t>Gross national income per capita</t>
        </is>
      </c>
      <c r="C7" s="2" t="inlineStr">
        <is>
          <t>76,590</t>
        </is>
      </c>
      <c r="D7" s="2" t="inlineStr">
        <is>
          <t>82,910 (2024, Atlas method, current US$)</t>
        </is>
      </c>
      <c r="E7" s="2" t="inlineStr">
        <is>
          <t>World Bank WDI, indicator NY.GNP.PCAP.CD: https://api.worldbank.org/v2/country/US/indicator/NY.GNP.PCAP.CD?format=json&amp;date=2024</t>
        </is>
      </c>
      <c r="F7" s="2" t="inlineStr">
        <is>
          <t>WDI vintage lastupdated 2026-07-13; data year 2024</t>
        </is>
      </c>
      <c r="G7" s="2" t="inlineStr">
        <is>
          <t>OUTDATED on portal (2022 figure). GNI (Atlas) / midyear population. Well above the $14,375 high-income threshold.</t>
        </is>
      </c>
    </row>
    <row r="8" ht="52" customHeight="1">
      <c r="A8" s="2" t="inlineStr">
        <is>
          <t>Country Information</t>
        </is>
      </c>
      <c r="B8" s="2" t="inlineStr">
        <is>
          <t>Gross domestic product (in USD)</t>
        </is>
      </c>
      <c r="C8" s="2" t="inlineStr">
        <is>
          <t>25,744,108,000,000</t>
        </is>
      </c>
      <c r="D8" s="2" t="inlineStr">
        <is>
          <t>29,298,013,000,000 (2024, current US$)</t>
        </is>
      </c>
      <c r="E8" s="2" t="inlineStr">
        <is>
          <t>World Bank WDI, indicator NY.GDP.MKTP.CD: https://api.worldbank.org/v2/country/US/indicator/NY.GDP.MKTP.CD?format=json&amp;date=2024</t>
        </is>
      </c>
      <c r="F8" s="2" t="inlineStr">
        <is>
          <t>WDI vintage lastupdated 2026-07-13; data year 2024</t>
        </is>
      </c>
      <c r="G8" s="2" t="inlineStr">
        <is>
          <t>OUTDATED on portal (2022 figure). Vintage caveat: the July 2026 WDI update revised 2024 US GDP sharply upward (April 2026 vintage showed $28.751T) reflecting BEA national-accounts revisions. WDI is revised quarterly; re-pull values at the moment the portal is updated.</t>
        </is>
      </c>
    </row>
    <row r="9" ht="65" customHeight="1">
      <c r="A9" s="2" t="inlineStr">
        <is>
          <t>Public Procurement Agency and Public Procurement Law</t>
        </is>
      </c>
      <c r="B9" s="2" t="inlineStr">
        <is>
          <t>Name of Public Procurement Agency (PPA)</t>
        </is>
      </c>
      <c r="C9" s="2" t="inlineStr">
        <is>
          <t>N/A</t>
        </is>
      </c>
      <c r="D9" s="2" t="inlineStr">
        <is>
          <t>The United States has no single public procurement agency. The Office of Federal Procurement Policy (OFPP) within the Office of Management and Budget provides government-wide procurement policy direction (established by Congress in 1974); the General Services Administration (GSA) Federal Acquisition Service acts as the federal central buyer of common goods and services.</t>
        </is>
      </c>
      <c r="E9" s="2" t="inlineStr">
        <is>
          <t>OFPP, whitehouse.gov: https://www.whitehouse.gov/omb/management/office-federal-procurement-policy/ ; GSA: https://www.gsa.gov/about-gsa/organization?footer=gsa</t>
        </is>
      </c>
      <c r="F9" s="2" t="inlineStr">
        <is>
          <t>No dates shown; accessed 2026-09-29 (OFPP page lists policy documents through Jan 17, 2025)</t>
        </is>
      </c>
      <c r="G9" s="2" t="inlineStr">
        <is>
          <t>OFPP 'plays a central role in shaping the policies and practices federal agencies use to acquire the goods and services they need.' GSA FAS 'helps government agencies buy and access the products, services, and solutions they need.'</t>
        </is>
      </c>
    </row>
    <row r="10" ht="39" customHeight="1">
      <c r="A10" s="2" t="inlineStr">
        <is>
          <t>Public Procurement Agency and Public Procurement Law</t>
        </is>
      </c>
      <c r="B10" s="2" t="inlineStr">
        <is>
          <t>Is PPA a Central Purchasing Body?</t>
        </is>
      </c>
      <c r="C10" s="2" t="inlineStr">
        <is>
          <t>N/A</t>
        </is>
      </c>
      <c r="D10" s="2" t="inlineStr">
        <is>
          <t>No - OFPP is a government-wide procurement policy office and does not purchase. The central-buyer function sits with GSA's Federal Acquisition Service ('the federal government's purchasing agent').</t>
        </is>
      </c>
      <c r="E10" s="2" t="inlineStr">
        <is>
          <t>OFPP page (see above); GSA purchasing programs: https://www.gsa.gov/buy-through-us/purchasing-programs?topnav=buy-through-us</t>
        </is>
      </c>
      <c r="F10" s="2" t="inlineStr">
        <is>
          <t>GSA page last updated ~Dec 2025; accessed 2026-09-29</t>
        </is>
      </c>
      <c r="G10" s="2" t="inlineStr">
        <is>
          <t>OFPP's own page describes only a policy-shaping role.</t>
        </is>
      </c>
    </row>
    <row r="11" ht="91" customHeight="1">
      <c r="A11" s="2" t="inlineStr">
        <is>
          <t>Public Procurement Agency and Public Procurement Law</t>
        </is>
      </c>
      <c r="B11" s="2" t="inlineStr">
        <is>
          <t>Number of certified contracting officers (e.g. CIPS)</t>
        </is>
      </c>
      <c r="C11" s="2" t="inlineStr">
        <is>
          <t>N/A</t>
        </is>
      </c>
      <c r="D11" s="2" t="inlineStr">
        <is>
          <t>Not published by official sources</t>
        </is>
      </c>
      <c r="E11" s="2" t="inlineStr">
        <is>
          <t>FAI workforce publications, fai.gov; GSA Acquisition Workforce Training Fund legislative proposal: http://gsa.gov/system/files/Cleared%20-%20GSA%20AWTF%20Legislative%20Proposal.pdf</t>
        </is>
      </c>
      <c r="F11" s="2" t="inlineStr">
        <is>
          <t>N/A - no FAC-C-holder count found in any current official publication; accessed 2026-09-29</t>
        </is>
      </c>
      <c r="G11" s="2" t="inlineStr">
        <is>
          <t>FAI quarterly metrics track GS-1101/1102 headcounts (OPM FedScope), not FAC-C certifications; competency surveys report samples, not a census; the FAC-C registry (FAITAS/CSOD) is not published. Closest non-proposed figures (not for portal): ~80,000 of ~215,000 FAITAS users held all Federal Acquisition Certification types (fai.gov, Feb 2017); FAI 'trains and certifies nearly 200,000 members of the acquisition workforce' (FY24 AWTF proposal). DoD/DAWIA certifications (DAU) are separate from FAC-C.</t>
        </is>
      </c>
    </row>
    <row r="12" ht="26" customHeight="1">
      <c r="A12" s="2" t="inlineStr">
        <is>
          <t>Public Procurement Agency and Public Procurement Law</t>
        </is>
      </c>
      <c r="B12" s="2" t="inlineStr">
        <is>
          <t>Number of certified contracting officers by gender (women) (e.g. CIPS)</t>
        </is>
      </c>
      <c r="C12" s="2" t="inlineStr">
        <is>
          <t>N/A</t>
        </is>
      </c>
      <c r="D12" s="2" t="inlineStr">
        <is>
          <t>Not published by official sources</t>
        </is>
      </c>
      <c r="E12" s="2" t="inlineStr">
        <is>
          <t>FAI workforce publications (quarterly metrics; acquisition workforce reports), fai.gov</t>
        </is>
      </c>
      <c r="F12" s="2" t="inlineStr">
        <is>
          <t>N/A; accessed 2026-09-29</t>
        </is>
      </c>
      <c r="G12" s="2" t="inlineStr">
        <is>
          <t>Neither FAI quarterly metrics nor OFPP/FAI workforce reports publish gender-disaggregated certification counts.</t>
        </is>
      </c>
    </row>
    <row r="13" ht="26" customHeight="1">
      <c r="A13" s="2" t="inlineStr">
        <is>
          <t>Public Procurement Agency and Public Procurement Law</t>
        </is>
      </c>
      <c r="B13" s="2" t="inlineStr">
        <is>
          <t>Number of certified contracting officers by gender (men) (e.g. CIPS)</t>
        </is>
      </c>
      <c r="C13" s="2" t="inlineStr">
        <is>
          <t>N/A</t>
        </is>
      </c>
      <c r="D13" s="2" t="inlineStr">
        <is>
          <t>Not published by official sources</t>
        </is>
      </c>
      <c r="E13" s="2" t="inlineStr">
        <is>
          <t>FAI workforce publications, fai.gov</t>
        </is>
      </c>
      <c r="F13" s="2" t="inlineStr">
        <is>
          <t>N/A; accessed 2026-09-29</t>
        </is>
      </c>
      <c r="G13" s="2" t="inlineStr">
        <is>
          <t>Same as the women row above.</t>
        </is>
      </c>
    </row>
    <row r="14" ht="65" customHeight="1">
      <c r="A14" s="2" t="inlineStr">
        <is>
          <t>Public Procurement Agency and Public Procurement Law</t>
        </is>
      </c>
      <c r="B14" s="2" t="inlineStr">
        <is>
          <t>Contracting officers certification program</t>
        </is>
      </c>
      <c r="C14" s="2" t="inlineStr">
        <is>
          <t>N/A</t>
        </is>
      </c>
      <c r="D14" s="2" t="inlineStr">
        <is>
          <t>Federal Acquisition Certification in Contracting (FAC-C)</t>
        </is>
      </c>
      <c r="E14" s="2" t="inlineStr">
        <is>
          <t>Federal Acquisition Institute: https://www.fai.gov/certification/fac-c</t>
        </is>
      </c>
      <c r="F14" s="2" t="inlineStr">
        <is>
          <t>No date shown; accessed 2026-09-29</t>
        </is>
      </c>
      <c r="G14" s="2" t="inlineStr">
        <is>
          <t>FAI: 'The FAC-C Program is for contracting professionals in the federal government... The FAC-C applies to all executive agencies, except the Department of Defense.' Since the Jan 19, 2023 OFPP modernization memo (effective Feb 1, 2023), FAC-C is a single-level 'FAC-C (Professional)' certification with a mandatory exam.</t>
        </is>
      </c>
    </row>
    <row r="15" ht="39" customHeight="1">
      <c r="A15" s="2" t="inlineStr">
        <is>
          <t>Public Procurement Agency and Public Procurement Law</t>
        </is>
      </c>
      <c r="B15" s="2" t="inlineStr">
        <is>
          <t>Name of Central Purchasing Body (CPB)</t>
        </is>
      </c>
      <c r="C15" s="2" t="inlineStr">
        <is>
          <t>N/A</t>
        </is>
      </c>
      <c r="D15" s="2" t="inlineStr">
        <is>
          <t>General Services Administration (GSA), Federal Acquisition Service (FAS)</t>
        </is>
      </c>
      <c r="E15" s="2" t="inlineStr">
        <is>
          <t>GSA: https://www.gsa.gov/about-gsa/organization?footer=gsa ; https://www.gsa.gov/buy-through-us/purchasing-programs?topnav=buy-through-us</t>
        </is>
      </c>
      <c r="F15" s="2" t="inlineStr">
        <is>
          <t>No date shown / last updated ~Dec 2025; accessed 2026-09-29</t>
        </is>
      </c>
      <c r="G15" s="2" t="inlineStr">
        <is>
          <t>GSA describes FAS as 'the federal government's purchasing agent.'</t>
        </is>
      </c>
    </row>
    <row r="16" ht="65" customHeight="1">
      <c r="A16" s="2" t="inlineStr">
        <is>
          <t>Public Procurement Agency and Public Procurement Law</t>
        </is>
      </c>
      <c r="B16" s="2" t="inlineStr">
        <is>
          <t>Sectors covered by the CPB</t>
        </is>
      </c>
      <c r="C16" s="2" t="inlineStr">
        <is>
          <t>N/A</t>
        </is>
      </c>
      <c r="D16" s="2" t="inlineStr">
        <is>
          <t>Common-use goods and services government-wide - long-term governmentwide contracts (e.g., Multiple Award Schedules, Governmentwide Acquisition Contracts such as OASIS+) and assisted/centralized acquisition services</t>
        </is>
      </c>
      <c r="E16" s="2" t="inlineStr">
        <is>
          <t>GSA: https://www.gsa.gov/buy-through-us/purchasing-programs?topnav=buy-through-us ; GSA Office of Centralized Acquisition Services: https://www.gsa.gov/buy-through-us/purchasing-programs/procurement-consolidation/get-contracting-support-to-buy-common-goods-and-services</t>
        </is>
      </c>
      <c r="F16" s="2" t="inlineStr">
        <is>
          <t>No dates shown; accessed 2026-09-29</t>
        </is>
      </c>
      <c r="G16" s="2" t="inlineStr">
        <is>
          <t>FAS connects 'federal purchasers with the most cost-effective and high-quality commercial products and services'; OASIS+ is 'the largest governmentwide, multi-agency contract program.' Scope excludes real property (handled by GSA's Public Buildings Service).</t>
        </is>
      </c>
    </row>
    <row r="17" ht="52" customHeight="1">
      <c r="A17" s="2" t="inlineStr">
        <is>
          <t>Public Procurement Agency and Public Procurement Law</t>
        </is>
      </c>
      <c r="B17" s="2" t="inlineStr">
        <is>
          <t>Name of relevant ministry</t>
        </is>
      </c>
      <c r="C17" s="2" t="inlineStr">
        <is>
          <t>N/A</t>
        </is>
      </c>
      <c r="D17" s="2" t="inlineStr">
        <is>
          <t>The United States has no single procurement ministry. Relevant bodies: Office of Management and Budget - Office of Federal Procurement Policy (procurement policy direction); General Services Administration (central buying via the Federal Acquisition Service).</t>
        </is>
      </c>
      <c r="E17" s="2" t="inlineStr">
        <is>
          <t>OFPP: https://www.whitehouse.gov/omb/management/office-federal-procurement-policy/ ; GSA: https://www.gsa.gov/about-gsa/organization?footer=gsa</t>
        </is>
      </c>
      <c r="F17" s="2" t="inlineStr">
        <is>
          <t>No dates shown; accessed 2026-09-29</t>
        </is>
      </c>
      <c r="G17" s="2" t="inlineStr">
        <is>
          <t>OFPP sits inside OMB (an Executive Office of the President component); GSA is an independent agency - neither is a line ministry.</t>
        </is>
      </c>
    </row>
    <row r="18" ht="39" customHeight="1">
      <c r="A18" s="2" t="inlineStr">
        <is>
          <t>Public Procurement Agency and Public Procurement Law</t>
        </is>
      </c>
      <c r="B18" s="2" t="inlineStr">
        <is>
          <t>Region covered by the CPB</t>
        </is>
      </c>
      <c r="C18" s="2" t="inlineStr">
        <is>
          <t>N/A</t>
        </is>
      </c>
      <c r="D18" s="2" t="inlineStr">
        <is>
          <t>Nationwide - all states, the District of Columbia, and US territories</t>
        </is>
      </c>
      <c r="E18" s="2" t="inlineStr">
        <is>
          <t>GSA: https://www.gsa.gov/about-gsa/organization?footer=gsa</t>
        </is>
      </c>
      <c r="F18" s="2" t="inlineStr">
        <is>
          <t>No date shown; accessed 2026-09-29</t>
        </is>
      </c>
      <c r="G18" s="2" t="inlineStr">
        <is>
          <t>Inferred from GSA's government-wide mandate (not published as an explicit 'CPB coverage region' list). State/local buyers may access GSA vehicles in limited circumstances, but the core CPB function is federal government-wide.</t>
        </is>
      </c>
    </row>
    <row r="19" ht="26" customHeight="1">
      <c r="A19" s="2" t="inlineStr">
        <is>
          <t>Public Procurement Agency and Public Procurement Law</t>
        </is>
      </c>
      <c r="B19" s="2" t="inlineStr">
        <is>
          <t>CPB website</t>
        </is>
      </c>
      <c r="C19" s="2" t="inlineStr">
        <is>
          <t>N/A</t>
        </is>
      </c>
      <c r="D19" s="2" t="inlineStr">
        <is>
          <t>https://www.gsa.gov</t>
        </is>
      </c>
      <c r="E19" s="2" t="inlineStr">
        <is>
          <t>GSA homepage: https://www.gsa.gov</t>
        </is>
      </c>
      <c r="F19" s="2" t="inlineStr">
        <is>
          <t>Fetched live 2026-09-29</t>
        </is>
      </c>
      <c r="G19" s="2" t="inlineStr"/>
    </row>
    <row r="20" ht="39" customHeight="1">
      <c r="A20" s="2" t="inlineStr">
        <is>
          <t>Public Procurement Agency and Public Procurement Law</t>
        </is>
      </c>
      <c r="B20" s="2" t="inlineStr">
        <is>
          <t>Public Procurement law last revision date (1st instance)</t>
        </is>
      </c>
      <c r="C20" s="2" t="inlineStr">
        <is>
          <t>N/A</t>
        </is>
      </c>
      <c r="D20" s="2" t="inlineStr">
        <is>
          <t>Latest FAR amendment: Federal Acquisition Circular (FAC) 2026-01 - one final rule (FAR Case 2025-007, Trade Agreements Thresholds), published in the Federal Register March 13, 2026, effective March 13, 2026</t>
        </is>
      </c>
      <c r="E20" s="2" t="inlineStr">
        <is>
          <t>Federal Register: https://www.federalregister.gov/documents/full_text/html/2026/03/13/2026-04912.html ; acquisition.gov: https://www.acquisition.gov/browse/index/far</t>
        </is>
      </c>
      <c r="F20" s="2" t="inlineStr">
        <is>
          <t>Published March 13, 2026; effective March 13, 2026</t>
        </is>
      </c>
      <c r="G20" s="2" t="inlineStr">
        <is>
          <t>No official FAC newer than 2026-01 found on acquisition.gov. Note: the 'Revolutionary FAR Overhaul' (RFO) model deviations (2025-2026, under EO 14275) are agency deviations, not FAR amendments via FAC.</t>
        </is>
      </c>
    </row>
    <row r="21" ht="52" customHeight="1">
      <c r="A21" s="2" t="inlineStr">
        <is>
          <t>Public Procurement Agency and Public Procurement Law</t>
        </is>
      </c>
      <c r="B21" s="2" t="inlineStr">
        <is>
          <t>Public Procurement law last revision date (2nd instance)</t>
        </is>
      </c>
      <c r="C21" s="2" t="inlineStr">
        <is>
          <t>N/A</t>
        </is>
      </c>
      <c r="D21" s="2" t="inlineStr">
        <is>
          <t>Prior FAR amendment: FAC 2025-06 - one final rule (FAR Case 2024-001, Inflation Adjustment of Acquisition-Related Thresholds), published in the Federal Register August 27, 2025 (90 FR 41872), effective October 1, 2025</t>
        </is>
      </c>
      <c r="E21" s="2" t="inlineStr">
        <is>
          <t>acquisition.gov: https://acquisition.gov/content/publication-fac-2025-06</t>
        </is>
      </c>
      <c r="F21" s="2" t="inlineStr">
        <is>
          <t>Published August 27, 2025 (90 FR 41872); effective October 1, 2025</t>
        </is>
      </c>
      <c r="G21" s="2" t="inlineStr">
        <is>
          <t>This FAC raised the micro-purchase and simplified acquisition thresholds. For the statute CICA (41 U.S.C. sections 3301 et seq.), no single 'last amended' date is officially published - only the 1984 enactment (Pub. L. 98-369) and the non-substantive 2011 recodification (Pub. L. 111-350).</t>
        </is>
      </c>
    </row>
    <row r="22" ht="39" customHeight="1">
      <c r="A22" s="2" t="inlineStr">
        <is>
          <t>Public Procurement Agency and Public Procurement Law</t>
        </is>
      </c>
      <c r="B22" s="2" t="inlineStr">
        <is>
          <t>Total Cost of Ownership (TCO) law clause</t>
        </is>
      </c>
      <c r="C22" s="2" t="inlineStr">
        <is>
          <t>N/A</t>
        </is>
      </c>
      <c r="D22" s="2" t="inlineStr">
        <is>
          <t>No dedicated TCO statute or FAR provision - the FAR does not use the phrase 'total cost of ownership'; the equivalent regulatory concept is 'life-cycle cost' (see Life Cycle Costing field)</t>
        </is>
      </c>
      <c r="E22" s="2" t="inlineStr">
        <is>
          <t>FAR Part 7, acquisition.gov: https://www.acquisition.gov/far/part-7 ; https://www.acquisition.gov/far/7.101</t>
        </is>
      </c>
      <c r="F22" s="2" t="inlineStr">
        <is>
          <t>FAR text as currently published; accessed 2026-09-29</t>
        </is>
      </c>
      <c r="G22" s="2" t="inlineStr">
        <is>
          <t>'Total cost of ownership' appears in federal guidance literature (e.g., DOE/FEMP) but not in FAR regulatory text.</t>
        </is>
      </c>
    </row>
    <row r="23" ht="78" customHeight="1">
      <c r="A23" s="2" t="inlineStr">
        <is>
          <t>Public Procurement Agency and Public Procurement Law</t>
        </is>
      </c>
      <c r="B23" s="2" t="inlineStr">
        <is>
          <t>Life Cycle Costing (LLC) law clause</t>
        </is>
      </c>
      <c r="C23" s="2" t="inlineStr">
        <is>
          <t>N/A</t>
        </is>
      </c>
      <c r="D23" s="2" t="inlineStr">
        <is>
          <t>FAR 7.105(a)(3)(i): written acquisition plans must discuss how life-cycle cost will be considered (and if not used, explain why); FAR 7.101 defines 'life-cycle cost' as 'the total cost to the Government of acquiring, operating, supporting, and (if applicable) disposing of the items being acquired'; FAR 23.103(a)(2): sustainable-product price reasonableness assessed on cost-effectiveness 'over the life of the product'</t>
        </is>
      </c>
      <c r="E23" s="2" t="inlineStr">
        <is>
          <t>acquisition.gov: https://www.acquisition.gov/far/7.105 ; https://acquisition.gov/far/7.101 ; https://www.acquisition.gov/far/23.103</t>
        </is>
      </c>
      <c r="F23" s="2" t="inlineStr">
        <is>
          <t>FAR text as currently published; accessed 2026-09-29</t>
        </is>
      </c>
      <c r="G23" s="2" t="inlineStr">
        <is>
          <t>FAR 15.304 does NOT mention life-cycle cost (only price/cost evaluation generally) - do not cite it.</t>
        </is>
      </c>
    </row>
    <row r="24" ht="39" customHeight="1">
      <c r="A24" s="2" t="inlineStr">
        <is>
          <t>Public Procurement Agency and Public Procurement Law</t>
        </is>
      </c>
      <c r="B24" s="2" t="inlineStr">
        <is>
          <t>Value for Money (VfM) law clause</t>
        </is>
      </c>
      <c r="C24" s="2" t="inlineStr">
        <is>
          <t>N/A</t>
        </is>
      </c>
      <c r="D24" s="2" t="inlineStr">
        <is>
          <t>Not applicable as labeled; US uses 'best value' - FAR 15.101 (best value continuum): in negotiated acquisitions, the agency may obtain best value using any combination of source selection approaches</t>
        </is>
      </c>
      <c r="E24" s="2" t="inlineStr">
        <is>
          <t>acquisition.gov: https://www.acquisition.gov/far/part-15 (FAR 15.101)</t>
        </is>
      </c>
      <c r="F24" s="2" t="inlineStr">
        <is>
          <t>FAR text as currently published; accessed 2026-09-29</t>
        </is>
      </c>
      <c r="G24" s="2" t="inlineStr">
        <is>
          <t>'Value for money' is not a FAR term. Implemented via the tradeoff process (FAR 15.101-1) or lowest-price technically acceptable (FAR 15.101-2).</t>
        </is>
      </c>
    </row>
    <row r="25" ht="78" customHeight="1">
      <c r="A25" s="2" t="inlineStr">
        <is>
          <t>Public Procurement Agency and Public Procurement Law</t>
        </is>
      </c>
      <c r="B25" s="2" t="inlineStr">
        <is>
          <t>Sustainability law clause</t>
        </is>
      </c>
      <c r="C25" s="2" t="inlineStr">
        <is>
          <t>N/A</t>
        </is>
      </c>
      <c r="D25" s="2" t="inlineStr">
        <is>
          <t>FAR Part 23; FAR 23.103(a): 'Agencies shall procure sustainable products and services (as defined in 2.101) to the maximum extent practicable'; Executive Order 14057, 'Catalyzing Clean Energy Industries and Jobs Through Federal Sustainability' (December 8, 2021)</t>
        </is>
      </c>
      <c r="E25" s="2" t="inlineStr">
        <is>
          <t>acquisition.gov: https://www.acquisition.gov/far/23.103 ; https://www.acquisition.gov/far/part-23 ; EO 14057: https://www.federalregister.gov/documents/2021/12/13/2021-27114/catalyzing-clean-energy-industries-and-jobs-through-federal-sustainability</t>
        </is>
      </c>
      <c r="F25" s="2" t="inlineStr">
        <is>
          <t>FAR text as currently published, accessed 2026-09-29; EO 14057 signed Dec 8, 2021, published Dec 13, 2021 (86 FR 70935)</t>
        </is>
      </c>
      <c r="G25" s="2" t="inlineStr">
        <is>
          <t>FAR 23.103(a)(1) deems sustainable procurement 'practicable' unless the agency cannot acquire products competitively within a reasonable schedule, meeting performance requirements, or at a reasonable price (23.103(a)(2)). NOTE: EO 14057 was REVOKED Jan 20, 2025 (EO 14154); the statutory FAR Part 23 programs remain in force. Under the 2025-2026 FAR overhaul, Part 23 is being rewritten - section numbers may shift.</t>
        </is>
      </c>
    </row>
    <row r="26" ht="91" customHeight="1">
      <c r="A26" s="2" t="inlineStr">
        <is>
          <t>Public Procurement Agency and Public Procurement Law</t>
        </is>
      </c>
      <c r="B26" s="2" t="inlineStr">
        <is>
          <t>Public Procurement Law requirement for awards to SMEs (Small and Medium-sized Enterprises) clause</t>
        </is>
      </c>
      <c r="C26" s="2" t="inlineStr">
        <is>
          <t>N/A</t>
        </is>
      </c>
      <c r="D26" s="2" t="inlineStr">
        <is>
          <t>Small Business Act (15 U.S.C. 631 et seq.); FAR Part 19 (Small Business Programs); statutory government-wide goal of not less than 23% of the total value of all prime contract awards to small businesses, 15 U.S.C. 644(g)(1); automatic set-aside of acquisitions above the micro-purchase threshold up to the simplified acquisition threshold, FAR 19.502-2(a); set-aside 'rule of two' above the SAT when at least two responsible small businesses are expected at fair market prices, FAR 19.502-2(b)</t>
        </is>
      </c>
      <c r="E26" s="2" t="inlineStr">
        <is>
          <t>15 U.S.C. section 644(g)(1): https://uscode.house.gov/view.xhtml?req=granuleid:USC-2007-title15-section644&amp;num=0&amp;edition=2007 ; FAR 19.502-2: https://www.acquisition.gov/far/19.502-2 ; FAR Part 19: https://www.acquisition.gov/far/part-19</t>
        </is>
      </c>
      <c r="F26" s="2" t="inlineStr">
        <is>
          <t>15 U.S.C. per current House U.S. Code edition; FAR text as currently published; accessed 2026-09-29</t>
        </is>
      </c>
      <c r="G26" s="2" t="inlineStr">
        <is>
          <t>15 U.S.C. 644(g)(1): 'The Government-wide goal for participation by small business concerns shall be established at not less than 23 percent of the total value of all prime contract awards for each fiscal year.' Caveat: FAR overhaul retitles/restructures Part 19 (old 19.502-2 -&gt; new 19.104 per practitioner reporting); acquisition.gov canonical text still publishes 19.502-2 - re-check if overhaul fully incorporated.</t>
        </is>
      </c>
    </row>
    <row r="27" ht="78" customHeight="1">
      <c r="A27" s="2" t="inlineStr">
        <is>
          <t>Public Procurement Agency and Public Procurement Law</t>
        </is>
      </c>
      <c r="B27" s="2" t="inlineStr">
        <is>
          <t>Bid Securities and/or bid declaration clause</t>
        </is>
      </c>
      <c r="C27" s="2" t="inlineStr">
        <is>
          <t>N/A</t>
        </is>
      </c>
      <c r="D27" s="2" t="inlineStr">
        <is>
          <t>FAR Part 28 (Bonds and Insurance); FAR 28.101-1(a): bid guarantees required whenever a performance bond or performance-and-payment bond is required; Miller Act (40 U.S.C. ch. 31, subch. III) requires performance and payment bonds for construction contracts exceeding $150,000 (FAR 28.102-1(a)); solicitation provision FAR 52.228-1 (Bid Guarantee); guarantee amount at least 20% of bid price but not exceeding $3 million (FAR 28.101-2(b))</t>
        </is>
      </c>
      <c r="E27" s="2" t="inlineStr">
        <is>
          <t>acquisition.gov: https://acquisition.gov/far/28.101-1 ; https://www.acquisition.gov/far/28.102-1 ; https://www.acquisition.gov/far/part-28</t>
        </is>
      </c>
      <c r="F27" s="2" t="inlineStr">
        <is>
          <t>FAR text as currently published; accessed 2026-09-29</t>
        </is>
      </c>
      <c r="G27" s="2" t="inlineStr">
        <is>
          <t>The operative trigger is the Miller Act's $150,000 threshold for construction bonds - the Miller Act threshold and the simplified acquisition threshold are distinct values. Bid guarantees waivable for emergency acquisitions (FAR 28.101-1(c), 18.121).</t>
        </is>
      </c>
    </row>
    <row r="28" ht="104" customHeight="1">
      <c r="A28" s="2" t="inlineStr">
        <is>
          <t>Public Procurement Agency and Public Procurement Law</t>
        </is>
      </c>
      <c r="B28" s="2" t="inlineStr">
        <is>
          <t>Domestic preference clause</t>
        </is>
      </c>
      <c r="C28" s="2" t="inlineStr">
        <is>
          <t>N/A</t>
        </is>
      </c>
      <c r="D28" s="2" t="inlineStr">
        <is>
          <t>Buy American Act, 41 U.S.C. 8301-8305 (domestic content preference for federal procurement; implemented by FAR Part 25, Foreign Acquisition); Build America, Buy America Act (BABA), Pub. L. 117-58, div. G, title IX (Nov. 15, 2021), codified as a note to 41 U.S.C. 8301, requiring iron, steel, manufactured products, and construction materials used in federally funded infrastructure projects to be produced in the United States</t>
        </is>
      </c>
      <c r="E28" s="2" t="inlineStr">
        <is>
          <t>41 U.S.C. section 8301: https://uscode.house.gov/view.xhtml?req=(title:41%20section:8301%20edition:prelim) ; FAR 25.000: https://WWW.ACQUISITION.GOV/node/30316/printable/pdf ; US Dept. of Commerce BABA page: https://www.commerce.gov/oam/build-america-buy-america</t>
        </is>
      </c>
      <c r="F28" s="2" t="inlineStr">
        <is>
          <t>41 U.S.C. section 8301 preliminary edition (current law); BABA enacted Nov 15, 2021, effective for federal financial assistance obligated for infrastructure after May 14, 2022; Commerce page updated ~Sep 2026</t>
        </is>
      </c>
      <c r="G28" s="2" t="inlineStr">
        <is>
          <t>BABA applies to federally funded infrastructure (financial assistance), while the Buy American Act (41 U.S.C. 8301-8305) applies to direct federal procurement. FAR 25.000: 'It implements 41 U.S.C. chapter 83, Buy American; trade agreements; and other laws and regulations.'</t>
        </is>
      </c>
    </row>
    <row r="29" ht="78" customHeight="1">
      <c r="A29" s="2" t="inlineStr">
        <is>
          <t>Public Procurement Agency and Public Procurement Law</t>
        </is>
      </c>
      <c r="B29" s="2" t="inlineStr">
        <is>
          <t>Public Procurement Law requirement for mandatory use of e-government procurement</t>
        </is>
      </c>
      <c r="C29" s="2" t="inlineStr">
        <is>
          <t>N/A</t>
        </is>
      </c>
      <c r="D29" s="2" t="inlineStr">
        <is>
          <t>No single e-procurement mandate exists. Electronic-use requirements: (1) offerors must be registered in SAM.gov when submitting offers and at award - FAR 52.204-7(b)(1), FAR 4.1102; (2) synopses of proposed contract actions over $25,000 must be publicized on the Governmentwide Point of Entry (GPE), i.e., SAM.gov - FAR 5.101(a)(1), 5.201, 5.102(a)(1); solicitations made available through the GPE - FAR 5.102</t>
        </is>
      </c>
      <c r="E29" s="2" t="inlineStr">
        <is>
          <t>acquisition.gov: https://www.acquisition.gov/far/52.204-7 ; https://www.acquisition.gov/far/part-5</t>
        </is>
      </c>
      <c r="F29" s="2" t="inlineStr">
        <is>
          <t>FAR text as currently published; accessed 2026-09-29</t>
        </is>
      </c>
      <c r="G29" s="2" t="inlineStr">
        <is>
          <t>'An Offeror is required to be registered in SAM when submitting an offer or quotation and at time of award' (52.204-7(b)(1)); GPE is accessed at sam.gov (5.201(d)).</t>
        </is>
      </c>
    </row>
    <row r="30" ht="91" customHeight="1">
      <c r="A30" s="2" t="inlineStr">
        <is>
          <t>Public Procurement Agency and Public Procurement Law</t>
        </is>
      </c>
      <c r="B30" s="2" t="inlineStr">
        <is>
          <t>Public Procurement Law requirement that defines procedures to be used for emergency procurement</t>
        </is>
      </c>
      <c r="C30" s="2" t="inlineStr">
        <is>
          <t>N/A</t>
        </is>
      </c>
      <c r="D30" s="2" t="inlineStr">
        <is>
          <t>FAR Part 18 (Emergency Acquisitions): identifies acquisition flexibilities for emergency acquisitions - e.g., unusual and compelling urgency exception to competition (FAR 18.104, citing FAR 6.302-2); synopsis waiver for urgency (18.103); raised micro-purchase and simplified acquisition thresholds for contingency operations (18.201-18.204); protest override for urgent circumstances (18.125). Statutory basis: 41 U.S.C. 3304(a)(2) (unusual and compelling urgency)</t>
        </is>
      </c>
      <c r="E30" s="2" t="inlineStr">
        <is>
          <t>acquisition.gov: https://www.acquisition.gov/far/part-18</t>
        </is>
      </c>
      <c r="F30" s="2" t="inlineStr">
        <is>
          <t>FAR text as currently published; accessed 2026-09-29</t>
        </is>
      </c>
      <c r="G30" s="2" t="inlineStr">
        <is>
          <t>18.000(a): 'This part identifies acquisition flexibilities that are available for emergency acquisitions.' FAR 6.302-2 implements the 41 U.S.C. 3304(a)(2) urgency exception.</t>
        </is>
      </c>
    </row>
    <row r="31" ht="78" customHeight="1">
      <c r="A31" s="2" t="inlineStr">
        <is>
          <t>Public Procurement Agency and Public Procurement Law</t>
        </is>
      </c>
      <c r="B31" s="2" t="inlineStr">
        <is>
          <t>Public Procurement Law requirements that excludes donor-funded projects from national public procurement law</t>
        </is>
      </c>
      <c r="C31" s="2" t="inlineStr">
        <is>
          <t>N/A</t>
        </is>
      </c>
      <c r="D31" s="2" t="inlineStr">
        <is>
          <t>Not applicable - the United States is a donor country; no exclusion of donor-funded projects exists in federal procurement law. USAID, the US foreign assistance agency, is itself subject to federal procurement law: the USAID Acquisition Regulation (AIDAR) supplements the FAR (48 CFR chapter 1) as 48 CFR chapter 7, and the FAR and AIDAR apply to all contracts to which USAID is a direct party</t>
        </is>
      </c>
      <c r="E31" s="2" t="inlineStr">
        <is>
          <t>AIDAR text, acquisition.gov: https://login.acquisition.gov/node/45476/printable/pdf</t>
        </is>
      </c>
      <c r="F31" s="2" t="inlineStr">
        <is>
          <t>AIDAR text as published on acquisition.gov; accessed 2026-09-29</t>
        </is>
      </c>
      <c r="G31" s="2" t="inlineStr">
        <is>
          <t>The field's premise does not fit the United States (a major aid donor, not a recipient); 'not applicable' is the factually correct, verified answer - not a gap.</t>
        </is>
      </c>
    </row>
    <row r="32" ht="65" customHeight="1">
      <c r="A32" s="2" t="inlineStr">
        <is>
          <t>Public Procurement Agency and Public Procurement Law</t>
        </is>
      </c>
      <c r="B32" s="2" t="inlineStr">
        <is>
          <t>Complaint resolution period clause</t>
        </is>
      </c>
      <c r="C32" s="2" t="inlineStr">
        <is>
          <t>N/A</t>
        </is>
      </c>
      <c r="D32" s="2" t="inlineStr">
        <is>
          <t>GAO bid protests: the Comptroller General shall issue a final decision within 100 days after the protest is filed/submitted - 31 U.S.C. 3554(a)(1); GAO Bid Protest Regulations, 4 C.F.R. section 21.9(a)</t>
        </is>
      </c>
      <c r="E32" s="2" t="inlineStr">
        <is>
          <t>31 U.S.C. section 3554(a)(1): https://uscode.house.gov/view.xhtml?path=&amp;req=10-ARMED+FORCES&amp;f=treesort&amp;fq=true&amp;num=4899&amp;hl=true&amp;edition=prelim ; 4 C.F.R. section 21.9(a): https://www.govinfo.gov/content/pkg/CFR-2025-title4-vol1/pdf/CFR-2025-title4-vol1-sec21-9.pdf</t>
        </is>
      </c>
      <c r="F32" s="2" t="inlineStr">
        <is>
          <t>31 U.S.C. per current House U.S. Code edition; 4 C.F.R. section 21.9 per CFR 2025 title 4 vol. 1</t>
        </is>
      </c>
      <c r="G32" s="2" t="inlineStr">
        <is>
          <t>31 U.S.C. 3554(a)(1): 'the Comptroller General shall issue a final decision concerning a protest within 100 days after the date the protest is submitted to the Comptroller General.' Also an express option of 65 days (31 U.S.C. 3554(a)(2)). Underlying authority: Competition in Contracting Act (CICA).</t>
        </is>
      </c>
    </row>
    <row r="33" ht="104" customHeight="1">
      <c r="A33" s="2" t="inlineStr">
        <is>
          <t>Public Procurement Agency and Public Procurement Law</t>
        </is>
      </c>
      <c r="B33" s="2" t="inlineStr">
        <is>
          <t>Standstill period for goods contracts regulation clause</t>
        </is>
      </c>
      <c r="C33" s="2" t="inlineStr">
        <is>
          <t>N/A</t>
        </is>
      </c>
      <c r="D33" s="2" t="inlineStr">
        <is>
          <t>No EU-style standstill period exists in US law (same for goods, works, services). Functional equivalent: automatic stay of contract award and of contract performance upon a timely GAO protest - FAR 33.104(b) (award may not be made while GAO protest pending, absent head-of-contracting-activity written finding) and FAR 33.104(c) (contracting officer shall immediately suspend performance or terminate the contract when protest notice received within 10 days after award or 5 days after required debriefing), implementing 31 U.S.C. 3553(c)-(d)</t>
        </is>
      </c>
      <c r="E33" s="2" t="inlineStr">
        <is>
          <t>acquisition.gov: https://www.acquisition.gov/far/33.104</t>
        </is>
      </c>
      <c r="F33" s="2" t="inlineStr">
        <is>
          <t>FAR text as currently published; accessed 2026-09-29</t>
        </is>
      </c>
      <c r="G33" s="2" t="inlineStr">
        <is>
          <t>uscode.house.gov page for 31 U.S.C. 3553 was inaccessible (403); the stay substance is verified via FAR 33.104, which implements 31 U.S.C. 3553(c)-(d). The automatic stay applies only to 'timely' protests; late protests do not trigger a mandatory stay (33.104(c)(5)).</t>
        </is>
      </c>
    </row>
    <row r="34" ht="52" customHeight="1">
      <c r="A34" s="2" t="inlineStr">
        <is>
          <t>Public Procurement Agency and Public Procurement Law</t>
        </is>
      </c>
      <c r="B34" s="2" t="inlineStr">
        <is>
          <t>Standstill period for works contracts regulation clause</t>
        </is>
      </c>
      <c r="C34" s="2" t="inlineStr">
        <is>
          <t>N/A</t>
        </is>
      </c>
      <c r="D34" s="2" t="inlineStr">
        <is>
          <t>No EU-style standstill period exists in US law (same for goods, works, services). Functional equivalent: automatic stay of contract award and of contract performance upon a timely GAO protest - FAR 33.104(b)-(c), implementing 31 U.S.C. 3553(c)-(d)</t>
        </is>
      </c>
      <c r="E34" s="2" t="inlineStr">
        <is>
          <t>acquisition.gov: https://www.acquisition.gov/far/33.104</t>
        </is>
      </c>
      <c r="F34" s="2" t="inlineStr">
        <is>
          <t>FAR text as currently published; accessed 2026-09-29</t>
        </is>
      </c>
      <c r="G34" s="2" t="inlineStr">
        <is>
          <t>Same as the goods row above.</t>
        </is>
      </c>
    </row>
    <row r="35" ht="52" customHeight="1">
      <c r="A35" s="2" t="inlineStr">
        <is>
          <t>Public Procurement Agency and Public Procurement Law</t>
        </is>
      </c>
      <c r="B35" s="2" t="inlineStr">
        <is>
          <t>Standstill period for services contacts regulation clause</t>
        </is>
      </c>
      <c r="C35" s="2" t="inlineStr">
        <is>
          <t>N/A</t>
        </is>
      </c>
      <c r="D35" s="2" t="inlineStr">
        <is>
          <t>No EU-style standstill period exists in US law (same for goods, works, services). Functional equivalent: automatic stay of contract award and of contract performance upon a timely GAO protest - FAR 33.104(b)-(c), implementing 31 U.S.C. 3553(c)-(d)</t>
        </is>
      </c>
      <c r="E35" s="2" t="inlineStr">
        <is>
          <t>acquisition.gov: https://www.acquisition.gov/far/33.104</t>
        </is>
      </c>
      <c r="F35" s="2" t="inlineStr">
        <is>
          <t>FAR text as currently published; accessed 2026-09-29</t>
        </is>
      </c>
      <c r="G35" s="2" t="inlineStr">
        <is>
          <t>Same as the goods row above.</t>
        </is>
      </c>
    </row>
    <row r="36" ht="52" customHeight="1">
      <c r="A36" s="2" t="inlineStr">
        <is>
          <t>Public Procurement Agency and Public Procurement Law</t>
        </is>
      </c>
      <c r="B36" s="2" t="inlineStr">
        <is>
          <t>Bid validity period of goods awards regulation clause</t>
        </is>
      </c>
      <c r="C36" s="2" t="inlineStr">
        <is>
          <t>N/A</t>
        </is>
      </c>
      <c r="D36" s="2" t="inlineStr">
        <is>
          <t>No government-wide fixed bid validity period (same for goods, works, services); the minimum bid acceptance period is set per solicitation via provision FAR 52.214-16 (Minimum Bid Acceptance Period), prescribed at FAR 14.201-6(j) for invitations for bids (except construction)</t>
        </is>
      </c>
      <c r="E36" s="2" t="inlineStr">
        <is>
          <t>acquisition.gov: https://www.acquisition.gov/far/52.214-16</t>
        </is>
      </c>
      <c r="F36" s="2" t="inlineStr">
        <is>
          <t>FAR text as currently published; accessed 2026-09-29</t>
        </is>
      </c>
      <c r="G36" s="2" t="inlineStr">
        <is>
          <t>'The Government requires a minimum acceptance period of __________ calendar days' - i.e., solicitation-specific. Bids offering less than the stated minimum are rejected.</t>
        </is>
      </c>
    </row>
    <row r="37" ht="26" customHeight="1">
      <c r="A37" s="2" t="inlineStr">
        <is>
          <t>Public Procurement Agency and Public Procurement Law</t>
        </is>
      </c>
      <c r="B37" s="2" t="inlineStr">
        <is>
          <t>Bid validity period of works awards regulation clause</t>
        </is>
      </c>
      <c r="C37" s="2" t="inlineStr">
        <is>
          <t>N/A</t>
        </is>
      </c>
      <c r="D37" s="2" t="inlineStr">
        <is>
          <t>No government-wide fixed bid validity period (same for goods, works, services); per-solicitation minimum bid acceptance period via FAR 52.214-16</t>
        </is>
      </c>
      <c r="E37" s="2" t="inlineStr">
        <is>
          <t>acquisition.gov: https://www.acquisition.gov/far/52.214-16</t>
        </is>
      </c>
      <c r="F37" s="2" t="inlineStr">
        <is>
          <t>FAR text as currently published; accessed 2026-09-29</t>
        </is>
      </c>
      <c r="G37" s="2" t="inlineStr">
        <is>
          <t>Same as the goods row above.</t>
        </is>
      </c>
    </row>
    <row r="38" ht="26" customHeight="1">
      <c r="A38" s="2" t="inlineStr">
        <is>
          <t>Public Procurement Agency and Public Procurement Law</t>
        </is>
      </c>
      <c r="B38" s="2" t="inlineStr">
        <is>
          <t>Bid validity period of services awards regulation clause</t>
        </is>
      </c>
      <c r="C38" s="2" t="inlineStr">
        <is>
          <t>N/A</t>
        </is>
      </c>
      <c r="D38" s="2" t="inlineStr">
        <is>
          <t>No government-wide fixed bid validity period (same for goods, works, services); per-solicitation minimum bid acceptance period via FAR 52.214-16</t>
        </is>
      </c>
      <c r="E38" s="2" t="inlineStr">
        <is>
          <t>acquisition.gov: https://www.acquisition.gov/far/52.214-16</t>
        </is>
      </c>
      <c r="F38" s="2" t="inlineStr">
        <is>
          <t>FAR text as currently published; accessed 2026-09-29</t>
        </is>
      </c>
      <c r="G38" s="2" t="inlineStr">
        <is>
          <t>Same as the goods row above.</t>
        </is>
      </c>
    </row>
    <row r="39" ht="104" customHeight="1">
      <c r="A39" s="2" t="inlineStr">
        <is>
          <t>Public Procurement Agency and Public Procurement Law</t>
        </is>
      </c>
      <c r="B39" s="2" t="inlineStr">
        <is>
          <t>Number of days for advertisement of goods awards clause</t>
        </is>
      </c>
      <c r="C39" s="2" t="inlineStr">
        <is>
          <t>N/A</t>
        </is>
      </c>
      <c r="D39" s="2" t="inlineStr">
        <is>
          <t>Per FAR 5.203 (publicizing and response time, from GPE publication date; same for goods, works, services): (a) synopsis published at least 15 days before solicitation issuance (shorter/combined synopsis permitted for commercial acquisitions); (c) at least 30-day response time for bids/proposals when the contract action exceeds the simplified acquisition threshold; (e) at least 45 days for R&amp;D acquisitions exceeding the SAT; (h) no less than 40 days for WTO GPA/FTA-covered acquisitions (reducible to 10 days if within a published annual forecast category)</t>
        </is>
      </c>
      <c r="E39" s="2" t="inlineStr">
        <is>
          <t>acquisition.gov: https://www.acquisition.gov/far/part-5 (FAR 5.203(a)-(h))</t>
        </is>
      </c>
      <c r="F39" s="2" t="inlineStr">
        <is>
          <t>FAR text as currently published; accessed 2026-09-29</t>
        </is>
      </c>
      <c r="G39" s="2" t="inlineStr">
        <is>
          <t>These are response-time minima, not a single 'advertisement days' figure. For acquisitions at/below the SAT, the contracting officer sets a 'reasonable opportunity' response time (5.203(b)).</t>
        </is>
      </c>
    </row>
    <row r="40" ht="39" customHeight="1">
      <c r="A40" s="2" t="inlineStr">
        <is>
          <t>Public Procurement Agency and Public Procurement Law</t>
        </is>
      </c>
      <c r="B40" s="2" t="inlineStr">
        <is>
          <t>Number of days for advertisement of works awards clause</t>
        </is>
      </c>
      <c r="C40" s="2" t="inlineStr">
        <is>
          <t>N/A</t>
        </is>
      </c>
      <c r="D40" s="2" t="inlineStr">
        <is>
          <t>Same as goods: FAR 5.203(a)-(h) response-time minima (15 days before solicitation issuance; 30 days response above SAT; 45 days R&amp;D above SAT; 40 days GPA/FTA-covered)</t>
        </is>
      </c>
      <c r="E40" s="2" t="inlineStr">
        <is>
          <t>acquisition.gov: https://www.acquisition.gov/far/part-5</t>
        </is>
      </c>
      <c r="F40" s="2" t="inlineStr">
        <is>
          <t>FAR text as currently published; accessed 2026-09-29</t>
        </is>
      </c>
      <c r="G40" s="2" t="inlineStr">
        <is>
          <t>Same as the goods row above.</t>
        </is>
      </c>
    </row>
    <row r="41" ht="39" customHeight="1">
      <c r="A41" s="2" t="inlineStr">
        <is>
          <t>Public Procurement Agency and Public Procurement Law</t>
        </is>
      </c>
      <c r="B41" s="2" t="inlineStr">
        <is>
          <t>Number of days for advertisement of services awards clause</t>
        </is>
      </c>
      <c r="C41" s="2" t="inlineStr">
        <is>
          <t>N/A</t>
        </is>
      </c>
      <c r="D41" s="2" t="inlineStr">
        <is>
          <t>Same as goods: FAR 5.203(a)-(h) response-time minima (15 days before solicitation issuance; 30 days response above SAT; 45 days R&amp;D above SAT; 40 days GPA/FTA-covered)</t>
        </is>
      </c>
      <c r="E41" s="2" t="inlineStr">
        <is>
          <t>acquisition.gov: https://www.acquisition.gov/far/part-5</t>
        </is>
      </c>
      <c r="F41" s="2" t="inlineStr">
        <is>
          <t>FAR text as currently published; accessed 2026-09-29</t>
        </is>
      </c>
      <c r="G41" s="2" t="inlineStr">
        <is>
          <t>Same as the goods row above.</t>
        </is>
      </c>
    </row>
    <row r="42" ht="52" customHeight="1">
      <c r="A42" s="2" t="inlineStr">
        <is>
          <t>Public Procurement Agency and Public Procurement Law</t>
        </is>
      </c>
      <c r="B42" s="2" t="inlineStr">
        <is>
          <t>PPA website</t>
        </is>
      </c>
      <c r="C42" s="2" t="inlineStr">
        <is>
          <t>https://ustr.gov/issue-areas/government-procurement</t>
        </is>
      </c>
      <c r="D42" s="2" t="inlineStr">
        <is>
          <t>https://www.whitehouse.gov/omb/management/office-federal-procurement-policy/ (OFPP); https://www.gsa.gov (GSA, central buyer)</t>
        </is>
      </c>
      <c r="E42" s="2" t="inlineStr">
        <is>
          <t>OFPP: https://www.whitehouse.gov/omb/management/office-federal-procurement-policy/ ; GSA: https://www.gsa.gov ; USTR page checked: https://ustr.gov/issue-areas/government-procurement</t>
        </is>
      </c>
      <c r="F42" s="2" t="inlineStr">
        <is>
          <t>All fetched live 2026-09-29; no publication dates shown</t>
        </is>
      </c>
      <c r="G42" s="2" t="inlineStr">
        <is>
          <t>MISPLACED on portal: the USTR Government Procurement page covers US trade policy - the WTO Agreement on Government Procurement (GPA), the Trade Agreements Act of 1979, and procurement obligations in free trade agreements. It is not a procurement-agency site.</t>
        </is>
      </c>
    </row>
    <row r="43" ht="52" customHeight="1">
      <c r="A43" s="2" t="inlineStr">
        <is>
          <t>Public Procurement Agency and Public Procurement Law</t>
        </is>
      </c>
      <c r="B43" s="2" t="inlineStr">
        <is>
          <t>Public procurement law (1st instance)</t>
        </is>
      </c>
      <c r="C43" s="2" t="inlineStr">
        <is>
          <t>https://www.uscourts.gov/rules-policies/judiciary-policies/procurement-policies</t>
        </is>
      </c>
      <c r="D43" s="2" t="inlineStr">
        <is>
          <t>Federal Acquisition Regulation (FAR), 48 CFR Chapter 1 - https://www.acquisition.gov/browse/index/far</t>
        </is>
      </c>
      <c r="E43" s="2" t="inlineStr">
        <is>
          <t>acquisition.gov FAR page: https://www.acquisition.gov/browse/index/far ; eCFR Title 48: https://www.ecfr.gov/current/title-48</t>
        </is>
      </c>
      <c r="F43" s="2" t="inlineStr">
        <is>
          <t>acquisition.gov shows most recent FAC as FAC 2026-01, effective 03/13/2026; accessed 2026-09-29</t>
        </is>
      </c>
      <c r="G43" s="2" t="inlineStr">
        <is>
          <t>MISPLACED on portal: the Guide to Judiciary Policy procurement page is judiciary-only (applies to federal courts), not government-wide procurement law. eCFR lists 'Chapter 1 - Federal Acquisition Regulation (1-99)' under Title 48, Federal Acquisition Regulations System.</t>
        </is>
      </c>
    </row>
    <row r="44" ht="65" customHeight="1">
      <c r="A44" s="2" t="inlineStr">
        <is>
          <t>Public Procurement Agency and Public Procurement Law</t>
        </is>
      </c>
      <c r="B44" s="2" t="inlineStr">
        <is>
          <t>Public procurement law (2nd instance)</t>
        </is>
      </c>
      <c r="C44" s="2" t="inlineStr">
        <is>
          <t>https://ustr.gov/issue-areas/government-procurement/additional-information-on-US-Procurement</t>
        </is>
      </c>
      <c r="D44" s="2" t="inlineStr">
        <is>
          <t>Competition in Contracting Act of 1984 (CICA), Pub. L. 98-369, codified at 41 U.S.C. sections 3301 et seq. (originally 41 U.S.C. sections 251 et seq.; recodified by Pub. L. 111-350, Jan. 4, 2011). Related framework: Federal Property and Administrative Services Act of 1949, 40 U.S.C. section 101 et seq.</t>
        </is>
      </c>
      <c r="E44" s="2" t="inlineStr">
        <is>
          <t>congress.gov: https://www.congress.gov/bill/98th-congress/house-bill/5184 ; uscode.house.gov section 3301: https://uscode.house.gov/view.xhtml?path=&amp;req=granuleid%3AUSC-prelim-title41-section3301&amp;f=&amp;fq=&amp;num=0&amp;hl=false&amp;edition=prelim ; GAO decision B-229065: https://www.gao.gov/products/b-229065</t>
        </is>
      </c>
      <c r="F44" s="2" t="inlineStr">
        <is>
          <t>congress.gov accessed 2026-09-29; uscode.house.gov preliminary edition accessed 2026-09-29; GAO decision Jan 15, 1988</t>
        </is>
      </c>
      <c r="G44" s="2" t="inlineStr">
        <is>
          <t>MISPLACED on portal: the USTR link is trade-policy material, not a procurement statute. CICA establishes the 'full and open competition' requirement (41 U.S.C. section 3301).</t>
        </is>
      </c>
    </row>
    <row r="45" ht="78" customHeight="1">
      <c r="A45" s="2" t="inlineStr">
        <is>
          <t>Public Procurement Agency and Public Procurement Law</t>
        </is>
      </c>
      <c r="B45" s="2" t="inlineStr">
        <is>
          <t>Most Economically Advantageous Tender (MEAT) law clause</t>
        </is>
      </c>
      <c r="C45" s="2" t="inlineStr">
        <is>
          <t>Guide to Judiciary Policy Vol. 14: Procurement, Article 210.70.30, par a.</t>
        </is>
      </c>
      <c r="D45" s="2" t="inlineStr">
        <is>
          <t>Not applicable as labeled. US government-wide equivalents: 'best value' - FAR 15.101, implemented via the tradeoff process (FAR 15.101-1) and the lowest-price technically acceptable source selection process (FAR 15.101-2)</t>
        </is>
      </c>
      <c r="E45" s="2" t="inlineStr">
        <is>
          <t>acquisition.gov: https://www.acquisition.gov/far/part-15 (FAR 15.101, 15.101-1, 15.101-2 verified)</t>
        </is>
      </c>
      <c r="F45" s="2" t="inlineStr">
        <is>
          <t>FAR text as currently published; accessed 2026-09-29</t>
        </is>
      </c>
      <c r="G45" s="2" t="inlineStr">
        <is>
          <t>MISPLACED on portal: the cited judiciary provision is not government-wide law. 15.101-1(a): 'tradeoff process is appropriate when it may be in the best interest of the Government to consider award to other than the lowest priced offeror'; 15.101-2(a): LPTA 'appropriate when best value is expected to result from selection of the technically acceptable proposal with the lowest evaluated price.' 'MEAT' is not a FAR term.</t>
        </is>
      </c>
    </row>
    <row r="46" ht="52" customHeight="1">
      <c r="A46" s="2" t="inlineStr">
        <is>
          <t>Public Procurement Agency and Public Procurement Law</t>
        </is>
      </c>
      <c r="B46" s="2" t="inlineStr">
        <is>
          <t>Public bid openings clause</t>
        </is>
      </c>
      <c r="C46" s="2" t="inlineStr">
        <is>
          <t>Guide to Judiciary Policy Vol. 14: Procurement, Article 330.26.20.</t>
        </is>
      </c>
      <c r="D46" s="2" t="inlineStr">
        <is>
          <t>FAR 14.402-1 (sealed bidding): the bid opening officer 'shall personally and publicly open all bids received before that time' and, if practical, read them aloud to persons present; examination of bids by interested persons permitted</t>
        </is>
      </c>
      <c r="E46" s="2" t="inlineStr">
        <is>
          <t>acquisition.gov: https://www.acquisition.gov/far/14.402-1</t>
        </is>
      </c>
      <c r="F46" s="2" t="inlineStr">
        <is>
          <t>FAR text as currently published; accessed 2026-09-29</t>
        </is>
      </c>
      <c r="G46" s="2" t="inlineStr">
        <is>
          <t>MISPLACED on portal: applies only to sealed bidding (FAR Part 14); negotiated procurements (FAR Part 15) have no public opening. Replace the judiciary-only citation with this government-wide provision.</t>
        </is>
      </c>
    </row>
    <row r="47" ht="52" customHeight="1">
      <c r="A47" s="2" t="inlineStr">
        <is>
          <t>Public Procurement Agency and Public Procurement Law</t>
        </is>
      </c>
      <c r="B47" s="2" t="inlineStr">
        <is>
          <t>Contract award disclosure threshold clause</t>
        </is>
      </c>
      <c r="C47" s="2" t="inlineStr">
        <is>
          <t>Federal Register Notice with 2018-2019 Thresholds (82 FR 58248, Dec. 11, 2017).</t>
        </is>
      </c>
      <c r="D47" s="2" t="inlineStr">
        <is>
          <t>Synopses of proposed contract actions expected to exceed $25,000 must be publicized on the GPE/SAM.gov (FAR 5.101(a)(1), 5.201)</t>
        </is>
      </c>
      <c r="E47" s="2" t="inlineStr">
        <is>
          <t>acquisition.gov 'Threshold Changes - October 1st, 2025': https://www.acquisition.gov/threshold-changes ; acquisition.gov FAC 2025-06: https://acquisition.gov/content/publication-fac-2025-06</t>
        </is>
      </c>
      <c r="F47" s="2" t="inlineStr">
        <is>
          <t>Threshold table effective October 1, 2025; FR final rule August 27, 2025 (90 FR 41872)</t>
        </is>
      </c>
      <c r="G47" s="2" t="inlineStr">
        <is>
          <t>OUTDATED on portal (2017 thresholds). Rule: FAC 2025-06 (FAR Case 2024-001), Inflation Adjustment of Acquisition-Related Thresholds under 41 U.S.C. 1908. FAC 2026-01 covered only trade-agreement thresholds (FAR Part 25.4).</t>
        </is>
      </c>
    </row>
    <row r="48" ht="39" customHeight="1">
      <c r="A48" s="2" t="inlineStr">
        <is>
          <t>Public Procurement Agency and Public Procurement Law</t>
        </is>
      </c>
      <c r="B48" s="2" t="inlineStr">
        <is>
          <t>Tender threshold value</t>
        </is>
      </c>
      <c r="C48" s="2" t="inlineStr">
        <is>
          <t>Federal Register Notice with 2018-2019 Thresholds (82 FR 58248, Dec. 11, 2017).</t>
        </is>
      </c>
      <c r="D48" s="2" t="inlineStr">
        <is>
          <t>Simplified acquisition threshold (FAR 2.101): $350,000 (up from $250,000) - above it, full competition procedures apply</t>
        </is>
      </c>
      <c r="E48" s="2" t="inlineStr">
        <is>
          <t>acquisition.gov: https://www.acquisition.gov/threshold-changes ; https://acquisition.gov/content/publication-fac-2025-06</t>
        </is>
      </c>
      <c r="F48" s="2" t="inlineStr">
        <is>
          <t>Effective October 1, 2025; FR August 27, 2025 (90 FR 41872)</t>
        </is>
      </c>
      <c r="G48" s="2" t="inlineStr">
        <is>
          <t>OUTDATED on portal (2017 thresholds). Same inflation-adjustment rule as above.</t>
        </is>
      </c>
    </row>
    <row r="49" ht="52" customHeight="1">
      <c r="A49" s="2" t="inlineStr">
        <is>
          <t>Public Procurement Agency and Public Procurement Law</t>
        </is>
      </c>
      <c r="B49" s="2" t="inlineStr">
        <is>
          <t>Threshold value for direct contract awards of goods clause</t>
        </is>
      </c>
      <c r="C49" s="2" t="inlineStr">
        <is>
          <t>Federal Register Notice with 2018-2019 Thresholds (82 FR 58248, Dec. 11, 2017).</t>
        </is>
      </c>
      <c r="D49" s="2" t="inlineStr">
        <is>
          <t>Micro-purchase threshold (FAR 2.101): $15,000 (up from $10,000) - no competition required at/below it (FAR 13.201). Same for goods, works, services</t>
        </is>
      </c>
      <c r="E49" s="2" t="inlineStr">
        <is>
          <t>acquisition.gov: https://www.acquisition.gov/threshold-changes ; https://acquisition.gov/content/publication-fac-2025-06</t>
        </is>
      </c>
      <c r="F49" s="2" t="inlineStr">
        <is>
          <t>Effective October 1, 2025; FR August 27, 2025 (90 FR 41872)</t>
        </is>
      </c>
      <c r="G49" s="2" t="inlineStr">
        <is>
          <t>OUTDATED on portal (2017 thresholds). Special-case variants also changed (FAR 2.101): MPT for contingency operations $20,000 -&gt; $25,000; SAT for contingency operations $800,000 -&gt; $1,000,000; SAT for defense support $1.5M -&gt; $2M.</t>
        </is>
      </c>
    </row>
    <row r="50" ht="39" customHeight="1">
      <c r="A50" s="2" t="inlineStr">
        <is>
          <t>Public Procurement Agency and Public Procurement Law</t>
        </is>
      </c>
      <c r="B50" s="2" t="inlineStr">
        <is>
          <t>Threshold value for direct contract awards of works clause</t>
        </is>
      </c>
      <c r="C50" s="2" t="inlineStr">
        <is>
          <t>Federal Register Notice with 2018-2019 Thresholds (82 FR 58248, Dec. 11, 2017).</t>
        </is>
      </c>
      <c r="D50" s="2" t="inlineStr">
        <is>
          <t>Micro-purchase threshold: $15,000 (FAR 2.101; FAR 13.201) - same as goods</t>
        </is>
      </c>
      <c r="E50" s="2" t="inlineStr">
        <is>
          <t>acquisition.gov: https://www.acquisition.gov/threshold-changes</t>
        </is>
      </c>
      <c r="F50" s="2" t="inlineStr">
        <is>
          <t>Effective October 1, 2025</t>
        </is>
      </c>
      <c r="G50" s="2" t="inlineStr">
        <is>
          <t>OUTDATED on portal (2017 thresholds). Same as the goods row above.</t>
        </is>
      </c>
    </row>
    <row r="51" ht="39" customHeight="1">
      <c r="A51" s="2" t="inlineStr">
        <is>
          <t>Public Procurement Agency and Public Procurement Law</t>
        </is>
      </c>
      <c r="B51" s="2" t="inlineStr">
        <is>
          <t>Threshold value for direct contract awards of services clause</t>
        </is>
      </c>
      <c r="C51" s="2" t="inlineStr">
        <is>
          <t>Federal Register Notice with 2018-2019 Thresholds (82 FR 58248, Dec. 11, 2017).</t>
        </is>
      </c>
      <c r="D51" s="2" t="inlineStr">
        <is>
          <t>Micro-purchase threshold: $15,000 (FAR 2.101; FAR 13.201) - same as goods</t>
        </is>
      </c>
      <c r="E51" s="2" t="inlineStr">
        <is>
          <t>acquisition.gov: https://www.acquisition.gov/threshold-changes</t>
        </is>
      </c>
      <c r="F51" s="2" t="inlineStr">
        <is>
          <t>Effective October 1, 2025</t>
        </is>
      </c>
      <c r="G51" s="2" t="inlineStr">
        <is>
          <t>OUTDATED on portal (2017 thresholds). Same as the goods row above.</t>
        </is>
      </c>
    </row>
    <row r="52" ht="78" customHeight="1">
      <c r="A52" s="2" t="inlineStr">
        <is>
          <t>eProcurement</t>
        </is>
      </c>
      <c r="B52" s="2" t="inlineStr">
        <is>
          <t>eProcurement functionalities supported</t>
        </is>
      </c>
      <c r="C52" s="2" t="inlineStr">
        <is>
          <t>N/A</t>
        </is>
      </c>
      <c r="D52" s="2" t="inlineStr">
        <is>
          <t>Entity registration &amp; representations/certifications; Exclusion (debarment) records; Contract Opportunities (federal solicitation posting/search, formerly FedBizOpps/FBO); Contract Data (award reporting, formerly FPDS); Wage Determinations (formerly WDOL); Assistance Listings (formerly CFDA); Subaward reporting (formerly FSRS); Past Performance (CPARS/FAPIIS); BioPreferred &amp; Service Contract reports; public award data extracts/API</t>
        </is>
      </c>
      <c r="E52" s="2" t="inlineStr">
        <is>
          <t>GSA Federal Service Desk KB0012064: https://www.fsd.gov/kb/en/quick-start-guide-contract-registrations?id=kb_article_view&amp;sysparm_article=KB0012064 ; US Dept. of Labor SAM overview: https://www.dol.gov/general/business-ccr</t>
        </is>
      </c>
      <c r="F52" s="2" t="inlineStr">
        <is>
          <t>Current (crawled Sep 2026); FSRS to SAM.gov subaward migration Mar 8, 2025 per GAO-25-107315: https://www.gao.gov/assets/gao-25-107315.pdf</t>
        </is>
      </c>
      <c r="G52" s="2" t="inlineStr">
        <is>
          <t>FPDS reporting function integrated into SAM.gov in October 2020 per GAO-25-107469. Module list derived from SAM.gov's consolidated legacy systems.</t>
        </is>
      </c>
    </row>
    <row r="53" ht="52" customHeight="1">
      <c r="A53" s="2" t="inlineStr">
        <is>
          <t>eProcurement</t>
        </is>
      </c>
      <c r="B53" s="2" t="inlineStr">
        <is>
          <t>eSignature functionalities</t>
        </is>
      </c>
      <c r="C53" s="2" t="inlineStr">
        <is>
          <t>N/A</t>
        </is>
      </c>
      <c r="D53" s="2" t="inlineStr">
        <is>
          <t>Yes - e-signatures legally accepted; FAR 2.101 defines 'signature' to include electronic signatures; FAR 4.502(d) expressly authorizes agencies to accept electronic signatures and records in connection with government contracts</t>
        </is>
      </c>
      <c r="E53" s="2" t="inlineStr">
        <is>
          <t>US Civilian Agency Acquisition Council (CAAC), Class Deviation Findings and Determination, acquisition.gov: https://www.acquisition.gov/sites/default/files/caac/deviation/DOE_Deviation_CAAC_2020-04_Supplement_1.pdf</t>
        </is>
      </c>
      <c r="F53" s="2" t="inlineStr">
        <is>
          <t>May 12, 2023</t>
        </is>
      </c>
      <c r="G53" s="2" t="inlineStr">
        <is>
          <t>CAAC has issued standing deviations extending e-signature flexibilities government-wide. SAM.gov-specific signature workflow details (e.g., login.gov-authenticated signing) are not separately published.</t>
        </is>
      </c>
    </row>
    <row r="54" ht="65" customHeight="1">
      <c r="A54" s="2" t="inlineStr">
        <is>
          <t>eProcurement</t>
        </is>
      </c>
      <c r="B54" s="2" t="inlineStr">
        <is>
          <t>eProcurement System used by the World Bank</t>
        </is>
      </c>
      <c r="C54" s="2" t="inlineStr">
        <is>
          <t>N/A</t>
        </is>
      </c>
      <c r="D54" s="2" t="inlineStr">
        <is>
          <t>Not applicable</t>
        </is>
      </c>
      <c r="E54" s="2" t="inlineStr">
        <is>
          <t>World Bank, STEP brief: https://www.worldbank.org/en/projects-operations/products-and-services/brief/systematic-tracking-of-exchanges-in-procurement-step.print ; GSA FSD: https://www.fsd.gov/kb/en/quick-start-guide-contract-registrations?id=kb_article_view&amp;sysparm_article=KB0012064</t>
        </is>
      </c>
      <c r="F54" s="2" t="inlineStr">
        <is>
          <t>World Bank STEP page ~2022; FSD KB current (2026)</t>
        </is>
      </c>
      <c r="G54" s="2" t="inlineStr">
        <is>
          <t>SAM.gov is a US federal system operated by GSA; the World Bank uses its own STEP platform for Bank-financed procurement, not SAM.gov.</t>
        </is>
      </c>
    </row>
    <row r="55" ht="39" customHeight="1">
      <c r="A55" s="2" t="inlineStr">
        <is>
          <t>eProcurement</t>
        </is>
      </c>
      <c r="B55" s="2" t="inlineStr">
        <is>
          <t>World Bank procurement method used for certification</t>
        </is>
      </c>
      <c r="C55" s="2" t="inlineStr">
        <is>
          <t>N/A</t>
        </is>
      </c>
      <c r="D55" s="2" t="inlineStr">
        <is>
          <t>Not applicable - no World Bank certification of SAM.gov</t>
        </is>
      </c>
      <c r="E55" s="2" t="inlineStr">
        <is>
          <t>World Bank, STEP brief: https://www.worldbank.org/en/projects-operations/products-and-services/brief/systematic-tracking-of-exchanges-in-procurement-step.print</t>
        </is>
      </c>
      <c r="F55" s="2" t="inlineStr">
        <is>
          <t>2022</t>
        </is>
      </c>
      <c r="G55" s="2" t="inlineStr">
        <is>
          <t>The World Bank does not operate a certification program for national e-procurement systems; no record of any World Bank certification of SAM.gov exists in official sources.</t>
        </is>
      </c>
    </row>
    <row r="56" ht="39" customHeight="1">
      <c r="A56" s="2" t="inlineStr">
        <is>
          <t>eProcurement</t>
        </is>
      </c>
      <c r="B56" s="2" t="inlineStr">
        <is>
          <t>eProcurement system supported by the World Bank</t>
        </is>
      </c>
      <c r="C56" s="2" t="inlineStr">
        <is>
          <t>N/A</t>
        </is>
      </c>
      <c r="D56" s="2" t="inlineStr">
        <is>
          <t>Not applicable</t>
        </is>
      </c>
      <c r="E56" s="2" t="inlineStr">
        <is>
          <t>World Bank, STEP brief: https://www.worldbank.org/en/projects-operations/products-and-services/brief/systematic-tracking-of-exchanges-in-procurement-step.print</t>
        </is>
      </c>
      <c r="F56" s="2" t="inlineStr">
        <is>
          <t>2022</t>
        </is>
      </c>
      <c r="G56" s="2" t="inlineStr">
        <is>
          <t>The World Bank's supported procurement platform is STEP; SAM.gov is a US domestic federal system, not a World Bank-supported system.</t>
        </is>
      </c>
    </row>
    <row r="57" ht="52" customHeight="1">
      <c r="A57" s="2" t="inlineStr">
        <is>
          <t>eProcurement</t>
        </is>
      </c>
      <c r="B57" s="2" t="inlineStr">
        <is>
          <t>Supported currencies</t>
        </is>
      </c>
      <c r="C57" s="2" t="inlineStr">
        <is>
          <t>N/A</t>
        </is>
      </c>
      <c r="D57" s="2" t="inlineStr">
        <is>
          <t>USD (US dollars)</t>
        </is>
      </c>
      <c r="E57" s="2" t="inlineStr">
        <is>
          <t>FPDS-NG FAQ: https://www.fpds.gov/wiki/index.php?title=FPDS-NG_FAQ&amp;diff=cur&amp;oldid=3807 ; CRS R44027 Tracking Federal Awards: https://www.congress.gov/crs_external_products/R/PDF/R44027/R44027.79.pdf</t>
        </is>
      </c>
      <c r="F57" s="2" t="inlineStr">
        <is>
          <t>FPDS FAQ current (2026); CRS R44027 updated 2024-2025</t>
        </is>
      </c>
      <c r="G57" s="2" t="inlineStr">
        <is>
          <t>Federal contract obligations and award amounts are denominated and reported in US dollars across FPDS/SAM.gov Contract Data and USAspending.gov.</t>
        </is>
      </c>
    </row>
    <row r="58" ht="52" customHeight="1">
      <c r="A58" s="2" t="inlineStr">
        <is>
          <t>eProcurement</t>
        </is>
      </c>
      <c r="B58" s="2" t="inlineStr">
        <is>
          <t>Applicable charges</t>
        </is>
      </c>
      <c r="C58" s="2" t="inlineStr">
        <is>
          <t>N/A</t>
        </is>
      </c>
      <c r="D58" s="2" t="inlineStr">
        <is>
          <t>Free of charge - no fees for registration, renewal, or use; GSA warns third-party firms charging 'assistance' fees are not affiliated with the government</t>
        </is>
      </c>
      <c r="E58" s="2" t="inlineStr">
        <is>
          <t>GSA: https://www.gsa.gov/real-estate/for-businesses-seeking-opportunities/how-to-compete-for-a-gsa-lease ; GSA FSD Quick Start Guide: https://www.fsd.gov/kb/en/quick-start-guide-contract-registrations?id=kb_article_view&amp;sysparm_article=KB0012064</t>
        </is>
      </c>
      <c r="F58" s="2" t="inlineStr">
        <is>
          <t>Current (Sep 2026)</t>
        </is>
      </c>
      <c r="G58" s="2" t="inlineStr">
        <is>
          <t>GSA/Federal Service Desk maintain public fraud warnings about entities charging for SAM registration.</t>
        </is>
      </c>
    </row>
    <row r="59" ht="39" customHeight="1">
      <c r="A59" s="2" t="inlineStr">
        <is>
          <t>eProcurement</t>
        </is>
      </c>
      <c r="B59" s="2" t="inlineStr">
        <is>
          <t>eProcurement system proprietary vs Commercial Off the Shelf (COTS) vs. Open Source vs SaaS</t>
        </is>
      </c>
      <c r="C59" s="2" t="inlineStr">
        <is>
          <t>N/A</t>
        </is>
      </c>
      <c r="D59" s="2" t="inlineStr">
        <is>
          <t>Government-owned and operated (US General Services Administration)</t>
        </is>
      </c>
      <c r="E59" s="2" t="inlineStr">
        <is>
          <t>US Dept. of Labor: https://www.dol.gov/general/business-ccr ; GAO-25-107469: https://files.gao.gov/reports/GAO-25-107469/index.html</t>
        </is>
      </c>
      <c r="F59" s="2" t="inlineStr">
        <is>
          <t>Current; GAO report 2025</t>
        </is>
      </c>
      <c r="G59" s="2" t="inlineStr">
        <is>
          <t>SAM.gov is a government-built/operated system (Integrated Award Environment program at GSA), not a commercial off-the-shelf product, not open source, not SaaS.</t>
        </is>
      </c>
    </row>
    <row r="60" ht="39" customHeight="1">
      <c r="A60" s="2" t="inlineStr">
        <is>
          <t>eProcurement</t>
        </is>
      </c>
      <c r="B60" s="2" t="inlineStr">
        <is>
          <t>Business model for eProcurement</t>
        </is>
      </c>
      <c r="C60" s="2" t="inlineStr">
        <is>
          <t>N/A</t>
        </is>
      </c>
      <c r="D60" s="2" t="inlineStr">
        <is>
          <t>Government-funded; free to all government and vendor users</t>
        </is>
      </c>
      <c r="E60" s="2" t="inlineStr">
        <is>
          <t>GSA: https://www.gsa.gov/real-estate/for-businesses-seeking-opportunities/how-to-compete-for-a-gsa-lease ; US Dept. of Labor: https://www.dol.gov/general/business-ccr</t>
        </is>
      </c>
      <c r="F60" s="2" t="inlineStr">
        <is>
          <t>Current (2026)</t>
        </is>
      </c>
      <c r="G60" s="2" t="inlineStr">
        <is>
          <t>Funded through federal appropriations via GSA's Integrated Award Environment; no user fees, transaction fees, or subscriptions.</t>
        </is>
      </c>
    </row>
    <row r="61" ht="52" customHeight="1">
      <c r="A61" s="2" t="inlineStr">
        <is>
          <t>eProcurement</t>
        </is>
      </c>
      <c r="B61" s="2" t="inlineStr">
        <is>
          <t>Website where eProcurement data are published as per Open Contracting Data Standard (OCDS) standard</t>
        </is>
      </c>
      <c r="C61" s="2" t="inlineStr">
        <is>
          <t>N/A</t>
        </is>
      </c>
      <c r="D61" s="2" t="inlineStr">
        <is>
          <t>No OCDS publication; open federal award data via USAspending.gov bulk downloads/API (https://www.usaspending.gov) - not OCDS-compliant</t>
        </is>
      </c>
      <c r="E61" s="2" t="inlineStr">
        <is>
          <t>Open Contracting Partnership (2016 proposal, not implemented): https://www.open-contracting.org/wp-content/uploads/2016/06/OCP_US_3Steps_June2016.pdf ; CRS R44027: https://www.congress.gov/crs_external_products/R/PDF/R44027/R44027.79.pdf</t>
        </is>
      </c>
      <c r="F61" s="2" t="inlineStr">
        <is>
          <t>OCP proposal June 2016; CRS report 2024-2025</t>
        </is>
      </c>
      <c r="G61" s="2" t="inlineStr">
        <is>
          <t>USAspending.gov publishes award data under the DATA Act schema (API v2 and bulk CSV/Parquet), which is not the Open Contracting Data Standard; no official US OCDS feed could be found. Do NOT claim OCDS compliance.</t>
        </is>
      </c>
    </row>
    <row r="62" ht="39" customHeight="1">
      <c r="A62" s="2" t="inlineStr">
        <is>
          <t>eProcurement</t>
        </is>
      </c>
      <c r="B62" s="2" t="inlineStr">
        <is>
          <t>Tender documents are downloadable</t>
        </is>
      </c>
      <c r="C62" s="2" t="inlineStr">
        <is>
          <t>N/A</t>
        </is>
      </c>
      <c r="D62" s="2" t="inlineStr">
        <is>
          <t>Yes - solicitation documents/attachments are listed in the 'Attachments/Links' section of each Contract Opportunities notice and are downloadable ('Download All' available); controlled attachments require an access request</t>
        </is>
      </c>
      <c r="E62" s="2" t="inlineStr">
        <is>
          <t>GSA Federal Service Desk KB0020241: https://www.fsd.gov/gsafsd_sp/en/contract-opportunities-what-is-a-controlled-attachment-on-a-sam-gov?id=kb_article_view&amp;sysparm_article=KB0020241</t>
        </is>
      </c>
      <c r="F62" s="2" t="inlineStr">
        <is>
          <t>Current (2026)</t>
        </is>
      </c>
      <c r="G62" s="2" t="inlineStr">
        <is>
          <t>Some attachments are 'controlled' (e.g., export-controlled) and require a SAM.gov entity role plus contracting-officer approval.</t>
        </is>
      </c>
    </row>
    <row r="63" ht="65" customHeight="1">
      <c r="A63" s="2" t="inlineStr">
        <is>
          <t>eProcurement</t>
        </is>
      </c>
      <c r="B63" s="2" t="inlineStr">
        <is>
          <t>eProcurement assessments</t>
        </is>
      </c>
      <c r="C63" s="2" t="inlineStr">
        <is>
          <t>N/A</t>
        </is>
      </c>
      <c r="D63" s="2" t="inlineStr">
        <is>
          <t>GAO-25-107469, 'Federal Spending Transparency' (2025), assessed GSA's consolidation of legacy systems into SAM.gov and FPDS integration; no standalone formal e-procurement performance assessment of SAM.gov has been published</t>
        </is>
      </c>
      <c r="E63" s="2" t="inlineStr">
        <is>
          <t>GAO: https://files.gao.gov/reports/GAO-25-107469/index.html</t>
        </is>
      </c>
      <c r="F63" s="2" t="inlineStr">
        <is>
          <t>2025</t>
        </is>
      </c>
      <c r="G63" s="2" t="inlineStr">
        <is>
          <t>The GAO report examined GSA's Integrated Award Environment modernization (FPDS reporting function integrated into SAM.gov October 2020; remaining legacy-system consolidation plans on hold as of May 2025). This is the closest official published assessment; GSA has not published a dedicated SAM.gov performance/effectiveness assessment.</t>
        </is>
      </c>
    </row>
    <row r="64" ht="78" customHeight="1">
      <c r="A64" s="2" t="inlineStr">
        <is>
          <t>eProcurement</t>
        </is>
      </c>
      <c r="B64" s="2" t="inlineStr">
        <is>
          <t>Percentage of value spent through the use of eProcurement over total value spent</t>
        </is>
      </c>
      <c r="C64" s="2" t="inlineStr">
        <is>
          <t>N/A</t>
        </is>
      </c>
      <c r="D64" s="2" t="inlineStr">
        <is>
          <t>Not published by official sources</t>
        </is>
      </c>
      <c r="E64" s="2" t="inlineStr">
        <is>
          <t>FPDS-NG FAQ: https://www.fpds.gov/wiki/index.php?title=FPDS-NG_FAQ&amp;diff=cur&amp;oldid=3807</t>
        </is>
      </c>
      <c r="F64" s="2" t="inlineStr">
        <is>
          <t>Current</t>
        </is>
      </c>
      <c r="G64" s="2" t="inlineStr">
        <is>
          <t>Federal agencies must report all contract actions (estimated value &gt;= $10,000) in FPDS/Contract Data, so coverage of reportable contract value is effectively comprehensive - but GSA publishes no official '% of value spent through eProcurement' metric. SAM.gov handles pre-award (solicitations) and award reporting, not payment execution, so a 'value spent through eProcurement' numerator is not cleanly definable.</t>
        </is>
      </c>
    </row>
    <row r="65" ht="52" customHeight="1">
      <c r="A65" s="2" t="inlineStr">
        <is>
          <t>eProcurement</t>
        </is>
      </c>
      <c r="B65" s="2" t="inlineStr">
        <is>
          <t>Percentage of number of transactions through the use of eProcurement over total number of transactions</t>
        </is>
      </c>
      <c r="C65" s="2" t="inlineStr">
        <is>
          <t>N/A</t>
        </is>
      </c>
      <c r="D65" s="2" t="inlineStr">
        <is>
          <t>Not published by official sources</t>
        </is>
      </c>
      <c r="E65" s="2" t="inlineStr">
        <is>
          <t>FPDS-NG FAQ: https://www.fpds.gov/wiki/index.php?title=FPDS-NG_FAQ&amp;diff=cur&amp;oldid=3807</t>
        </is>
      </c>
      <c r="F65" s="2" t="inlineStr">
        <is>
          <t>Current</t>
        </is>
      </c>
      <c r="G65" s="2" t="inlineStr">
        <is>
          <t>All reportable contract actions must be reported in FPDS (every modification regardless of dollar value), so transaction coverage is near-total - but no official '% of transactions through eProcurement' statistic is published by GSA.</t>
        </is>
      </c>
    </row>
    <row r="66" ht="52" customHeight="1">
      <c r="A66" s="2" t="inlineStr">
        <is>
          <t>eProcurement</t>
        </is>
      </c>
      <c r="B66" s="2" t="inlineStr">
        <is>
          <t>Number of professionals certified on eProcurement systems</t>
        </is>
      </c>
      <c r="C66" s="2" t="inlineStr">
        <is>
          <t>N/A</t>
        </is>
      </c>
      <c r="D66" s="2" t="inlineStr">
        <is>
          <t>Not published by official sources</t>
        </is>
      </c>
      <c r="E66" s="2" t="inlineStr">
        <is>
          <t>Federal Acquisition Institute: https://www.fai.gov/federal-acquisition-certification-fac-continuous-learning-cl</t>
        </is>
      </c>
      <c r="F66" s="2" t="inlineStr">
        <is>
          <t>Current (2026)</t>
        </is>
      </c>
      <c r="G66" s="2" t="inlineStr">
        <is>
          <t>There is no e-procurement-system-specific professional certification; FAI certifies acquisition workforce members (FAC-C, FAC-COR, FAC-P/PM), not SAM.gov system users. No official count of 'professionals certified on eProcurement systems' exists.</t>
        </is>
      </c>
    </row>
    <row r="67" ht="39" customHeight="1">
      <c r="A67" s="2" t="inlineStr">
        <is>
          <t>eProcurement</t>
        </is>
      </c>
      <c r="B67" s="2" t="inlineStr">
        <is>
          <t>Estimated annual savings value through the use of eProcurement (in USDs)</t>
        </is>
      </c>
      <c r="C67" s="2" t="inlineStr">
        <is>
          <t>N/A</t>
        </is>
      </c>
      <c r="D67" s="2" t="inlineStr">
        <is>
          <t>Not published by official sources</t>
        </is>
      </c>
      <c r="E67" s="2" t="inlineStr">
        <is>
          <t>GAO-25-107469: https://files.gao.gov/reports/GAO-25-107469/index.html</t>
        </is>
      </c>
      <c r="F67" s="2" t="inlineStr">
        <is>
          <t>2025</t>
        </is>
      </c>
      <c r="G67" s="2" t="inlineStr">
        <is>
          <t>GSA/GAO have not published an estimated annual savings figure, a savings percentage, or a savings-calculation methodology attributable to SAM.gov/e-procurement.</t>
        </is>
      </c>
    </row>
    <row r="68" ht="26" customHeight="1">
      <c r="A68" s="2" t="inlineStr">
        <is>
          <t>eProcurement</t>
        </is>
      </c>
      <c r="B68" s="2" t="inlineStr">
        <is>
          <t>Percentage of savings value through the use of eProcurement over total cost estimate</t>
        </is>
      </c>
      <c r="C68" s="2" t="inlineStr">
        <is>
          <t>N/A</t>
        </is>
      </c>
      <c r="D68" s="2" t="inlineStr">
        <is>
          <t>Not published by official sources</t>
        </is>
      </c>
      <c r="E68" s="2" t="inlineStr">
        <is>
          <t>GAO-25-107469: https://files.gao.gov/reports/GAO-25-107469/index.html</t>
        </is>
      </c>
      <c r="F68" s="2" t="inlineStr">
        <is>
          <t>2025</t>
        </is>
      </c>
      <c r="G68" s="2" t="inlineStr">
        <is>
          <t>Same as above - no published savings figure, percentage, or methodology.</t>
        </is>
      </c>
    </row>
    <row r="69" ht="26" customHeight="1">
      <c r="A69" s="2" t="inlineStr">
        <is>
          <t>eProcurement</t>
        </is>
      </c>
      <c r="B69" s="2" t="inlineStr">
        <is>
          <t>Methodology used in order to calculate savings value through the use of eProcurement</t>
        </is>
      </c>
      <c r="C69" s="2" t="inlineStr">
        <is>
          <t>N/A</t>
        </is>
      </c>
      <c r="D69" s="2" t="inlineStr">
        <is>
          <t>Not published by official sources</t>
        </is>
      </c>
      <c r="E69" s="2" t="inlineStr">
        <is>
          <t>GAO-25-107469: https://files.gao.gov/reports/GAO-25-107469/index.html</t>
        </is>
      </c>
      <c r="F69" s="2" t="inlineStr">
        <is>
          <t>2025</t>
        </is>
      </c>
      <c r="G69" s="2" t="inlineStr">
        <is>
          <t>Same as above - no published savings methodology.</t>
        </is>
      </c>
    </row>
    <row r="70" ht="52" customHeight="1">
      <c r="A70" s="2" t="inlineStr">
        <is>
          <t>eProcurement</t>
        </is>
      </c>
      <c r="B70" s="2" t="inlineStr">
        <is>
          <t>eProcurement system launch date</t>
        </is>
      </c>
      <c r="C70" s="2" t="inlineStr">
        <is>
          <t>2013</t>
        </is>
      </c>
      <c r="D70" s="2" t="inlineStr">
        <is>
          <t>2012 - SAM.gov initial launch May-July 2012 (Phase 1: entity management systems); Contract Opportunities capability (FedBizOpps/FBO migration) completed November 12, 2019</t>
        </is>
      </c>
      <c r="E70" s="2" t="inlineStr">
        <is>
          <t>DOE Policy Flash 2012-45: https://www.energy.gov/management/articles/rollout-system-award-management-sam-general-services-administration-gsa ; FedScoop on FBO retirement: https://fedscoop.com/fedbizopps-replacement-betasamgov-gsa-comments/</t>
        </is>
      </c>
      <c r="F70" s="2" t="inlineStr">
        <is>
          <t>May 17, 2012 (DOE flash); November 2019 (FBO retirement)</t>
        </is>
      </c>
      <c r="G70" s="2" t="inlineStr">
        <is>
          <t>OUTDATED on portal: '2013' is incorrect. Recommend field value: '2012 (Contract Opportunities module: 2019)'. Later integrations: FPDS reporting function into SAM.gov October 2020 (GAO-25-107469); FSRS subaward reporting into SAM.gov March 2025 (GAO-25-107315).</t>
        </is>
      </c>
    </row>
    <row r="71" ht="26" customHeight="1">
      <c r="A71" s="2" t="inlineStr">
        <is>
          <t>Value For Money, Fair Competition &amp; Transparency</t>
        </is>
      </c>
      <c r="B71" s="2" t="inlineStr">
        <is>
          <t>Common spend taxonomy used</t>
        </is>
      </c>
      <c r="C71" s="2" t="inlineStr">
        <is>
          <t>N/A</t>
        </is>
      </c>
      <c r="D71" s="2" t="inlineStr">
        <is>
          <t>Product and Service Codes (PSC) and North American Industry Classification System (NAICS), per the Federal Acquisition Regulation (FAR)</t>
        </is>
      </c>
      <c r="E71" s="2" t="inlineStr">
        <is>
          <t>FAR 19.102, acquisition.gov: https://www.acquisition.gov/far/19.102?&amp;searchTerms=NAICS+CODE</t>
        </is>
      </c>
      <c r="F71" s="2" t="inlineStr">
        <is>
          <t>FAR current as of 2026</t>
        </is>
      </c>
      <c r="G71" s="2" t="inlineStr">
        <is>
          <t>NAICS classifies the industry performing the work; PSC (4-character codes) classifies what is being bought. Both fields are mandatory in FPDS.</t>
        </is>
      </c>
    </row>
    <row r="72" ht="78" customHeight="1">
      <c r="A72" s="2" t="inlineStr">
        <is>
          <t>Value For Money, Fair Competition &amp; Transparency</t>
        </is>
      </c>
      <c r="B72" s="2" t="inlineStr">
        <is>
          <t>Number of annual tenders</t>
        </is>
      </c>
      <c r="C72" s="2" t="inlineStr">
        <is>
          <t>N/A</t>
        </is>
      </c>
      <c r="D72" s="2" t="inlineStr">
        <is>
          <t>Not published as an official aggregate</t>
        </is>
      </c>
      <c r="E72" s="2" t="inlineStr">
        <is>
          <t>GSA, SAM.gov 'by the Numbers': https://www.gsa.gov/system/files/SAMgov%20by%20the%20Numbers.pdf</t>
        </is>
      </c>
      <c r="F72" s="2" t="inlineStr">
        <is>
          <t>As of June 2023</t>
        </is>
      </c>
      <c r="G72" s="2" t="inlineStr">
        <is>
          <t>SAM.gov Contract Opportunities is the official federal solicitation notice platform (FAR Part 5). No government-wide annual count of tenders/solicitations is published as an official aggregate. Closest official figure: GSA reported ~24,000+ new opportunities/notices posted per month (June 2023), i.e. on the order of ~288,000/year - a rate, not an FY total. Archived opportunity data is downloadable from SAM.gov.</t>
        </is>
      </c>
    </row>
    <row r="73" ht="52" customHeight="1">
      <c r="A73" s="2" t="inlineStr">
        <is>
          <t>Value For Money, Fair Competition &amp; Transparency</t>
        </is>
      </c>
      <c r="B73" s="2" t="inlineStr">
        <is>
          <t>Value of annual tenders (in USD)</t>
        </is>
      </c>
      <c r="C73" s="2" t="inlineStr">
        <is>
          <t>N/A</t>
        </is>
      </c>
      <c r="D73" s="2" t="inlineStr">
        <is>
          <t>Not published as an official aggregate</t>
        </is>
      </c>
      <c r="E73" s="2" t="inlineStr">
        <is>
          <t>No official source; FPDS/GSA report award obligations, not solicitation values</t>
        </is>
      </c>
      <c r="F73" s="2" t="inlineStr">
        <is>
          <t>FY2024</t>
        </is>
      </c>
      <c r="G73" s="2" t="inlineStr">
        <is>
          <t>The US publishes the value of awarded contract obligations, not the aggregate value of solicitations issued. No official aggregate of tender/solicitation values exists. Microdata: solicitation records on SAM.gov Contract Opportunities.</t>
        </is>
      </c>
    </row>
    <row r="74" ht="52" customHeight="1">
      <c r="A74" s="2" t="inlineStr">
        <is>
          <t>Value For Money, Fair Competition &amp; Transparency</t>
        </is>
      </c>
      <c r="B74" s="2" t="inlineStr">
        <is>
          <t>Number of annual contracts</t>
        </is>
      </c>
      <c r="C74" s="2" t="inlineStr">
        <is>
          <t>N/A</t>
        </is>
      </c>
      <c r="D74" s="2" t="inlineStr">
        <is>
          <t>Not published as an official aggregate</t>
        </is>
      </c>
      <c r="E74" s="2" t="inlineStr">
        <is>
          <t>FPDS via GSA; GAO-25-107469: https://files.gao.gov/reports/GAO-25-107469/index.html</t>
        </is>
      </c>
      <c r="F74" s="2" t="inlineStr">
        <is>
          <t>FY2024</t>
        </is>
      </c>
      <c r="G74" s="2" t="inlineStr">
        <is>
          <t>FPDS counts 'contract actions' (base awards, modifications, orders), not a published distinct-contract count. USASpending/FPDS microdata can be queried but no official government-wide annual aggregate number of contracts is published.</t>
        </is>
      </c>
    </row>
    <row r="75" ht="26" customHeight="1">
      <c r="A75" s="2" t="inlineStr">
        <is>
          <t>Value For Money, Fair Competition &amp; Transparency</t>
        </is>
      </c>
      <c r="B75" s="2" t="inlineStr">
        <is>
          <t>Number of contract awards of goods</t>
        </is>
      </c>
      <c r="C75" s="2" t="inlineStr">
        <is>
          <t>N/A</t>
        </is>
      </c>
      <c r="D75" s="2" t="inlineStr">
        <is>
          <t>Not published as an official aggregate</t>
        </is>
      </c>
      <c r="E75" s="2" t="inlineStr">
        <is>
          <t>No official source</t>
        </is>
      </c>
      <c r="F75" s="2" t="inlineStr"/>
      <c r="G75" s="2" t="inlineStr">
        <is>
          <t>FPDS product/service-code microdata exists but no official aggregate award counts by goods/services/works are published.</t>
        </is>
      </c>
    </row>
    <row r="76" ht="39" customHeight="1">
      <c r="A76" s="2" t="inlineStr">
        <is>
          <t>Value For Money, Fair Competition &amp; Transparency</t>
        </is>
      </c>
      <c r="B76" s="2" t="inlineStr">
        <is>
          <t>Value of contracts awards of goods (in USD)</t>
        </is>
      </c>
      <c r="C76" s="2" t="inlineStr">
        <is>
          <t>N/A</t>
        </is>
      </c>
      <c r="D76" s="2">
        <f> $259 billion (FY2024) - civilian products $54B + defense products $205B</f>
        <v/>
      </c>
      <c r="E76" s="2" t="inlineStr">
        <is>
          <t>GAO, A Snapshot of Government-Wide Contracting for FY 2024 (interactive dashboard): https://www.gao.gov/blog/snapshot-government-wide-contracting-fy-2024-interactive-dashboard</t>
        </is>
      </c>
      <c r="F76" s="2" t="inlineStr">
        <is>
          <t>FY2024 data; published June 2025</t>
        </is>
      </c>
      <c r="G76" s="2" t="inlineStr">
        <is>
          <t>GAO reports 'products' (goods), not a goods/works/services split; 'works' (construction) is not broken out separately.</t>
        </is>
      </c>
    </row>
    <row r="77" ht="26" customHeight="1">
      <c r="A77" s="2" t="inlineStr">
        <is>
          <t>Value For Money, Fair Competition &amp; Transparency</t>
        </is>
      </c>
      <c r="B77" s="2" t="inlineStr">
        <is>
          <t>Number of contract awards of works</t>
        </is>
      </c>
      <c r="C77" s="2" t="inlineStr">
        <is>
          <t>N/A</t>
        </is>
      </c>
      <c r="D77" s="2" t="inlineStr">
        <is>
          <t>Not published as an official aggregate</t>
        </is>
      </c>
      <c r="E77" s="2" t="inlineStr">
        <is>
          <t>No official source</t>
        </is>
      </c>
      <c r="F77" s="2" t="inlineStr"/>
      <c r="G77" s="2" t="inlineStr">
        <is>
          <t>FPDS does not publish official aggregate award counts for works/construction.</t>
        </is>
      </c>
    </row>
    <row r="78" ht="39" customHeight="1">
      <c r="A78" s="2" t="inlineStr">
        <is>
          <t>Value For Money, Fair Competition &amp; Transparency</t>
        </is>
      </c>
      <c r="B78" s="2" t="inlineStr">
        <is>
          <t>Value of contracts awards of works (in USD)</t>
        </is>
      </c>
      <c r="C78" s="2" t="inlineStr">
        <is>
          <t>N/A</t>
        </is>
      </c>
      <c r="D78" s="2" t="inlineStr">
        <is>
          <t>Not published as a separate official aggregate</t>
        </is>
      </c>
      <c r="E78" s="2" t="inlineStr">
        <is>
          <t>GAO, A Snapshot of Government-Wide Contracting for FY 2024 (interactive dashboard): https://www.gao.gov/blog/snapshot-government-wide-contracting-fy-2024-interactive-dashboard</t>
        </is>
      </c>
      <c r="F78" s="2" t="inlineStr">
        <is>
          <t>FY2024 data; published June 2025</t>
        </is>
      </c>
      <c r="G78" s="2" t="inlineStr">
        <is>
          <t>GAO's FY2024 snapshot reports only products vs. services; construction/works is embedded in those categories.</t>
        </is>
      </c>
    </row>
    <row r="79" ht="26" customHeight="1">
      <c r="A79" s="2" t="inlineStr">
        <is>
          <t>Value For Money, Fair Competition &amp; Transparency</t>
        </is>
      </c>
      <c r="B79" s="2" t="inlineStr">
        <is>
          <t>Number of contract awards of services</t>
        </is>
      </c>
      <c r="C79" s="2" t="inlineStr">
        <is>
          <t>N/A</t>
        </is>
      </c>
      <c r="D79" s="2" t="inlineStr">
        <is>
          <t>Not published as an official aggregate</t>
        </is>
      </c>
      <c r="E79" s="2" t="inlineStr">
        <is>
          <t>No official source</t>
        </is>
      </c>
      <c r="F79" s="2" t="inlineStr"/>
      <c r="G79" s="2" t="inlineStr">
        <is>
          <t>FPDS product/service-code microdata exists but no official aggregate award counts by goods/services/works are published.</t>
        </is>
      </c>
    </row>
    <row r="80" ht="39" customHeight="1">
      <c r="A80" s="2" t="inlineStr">
        <is>
          <t>Value For Money, Fair Competition &amp; Transparency</t>
        </is>
      </c>
      <c r="B80" s="2" t="inlineStr">
        <is>
          <t>Value of contracts awards of services (in USD)</t>
        </is>
      </c>
      <c r="C80" s="2" t="inlineStr">
        <is>
          <t>N/A</t>
        </is>
      </c>
      <c r="D80" s="2">
        <f> $496 billion (FY2024) - civilian services $256B + defense services $240B</f>
        <v/>
      </c>
      <c r="E80" s="2" t="inlineStr">
        <is>
          <t>GAO, A Snapshot of Government-Wide Contracting for FY 2024 (interactive dashboard): https://www.gao.gov/blog/snapshot-government-wide-contracting-fy-2024-interactive-dashboard</t>
        </is>
      </c>
      <c r="F80" s="2" t="inlineStr">
        <is>
          <t>FY2024 data; published June 2025</t>
        </is>
      </c>
      <c r="G80" s="2" t="inlineStr">
        <is>
          <t>GAO analysis of FPDS data.</t>
        </is>
      </c>
    </row>
    <row r="81" ht="39" customHeight="1">
      <c r="A81" s="2" t="inlineStr">
        <is>
          <t>Value For Money, Fair Competition &amp; Transparency</t>
        </is>
      </c>
      <c r="B81" s="2" t="inlineStr">
        <is>
          <t>Number of domestic contract awards</t>
        </is>
      </c>
      <c r="C81" s="2" t="inlineStr">
        <is>
          <t>N/A</t>
        </is>
      </c>
      <c r="D81" s="2" t="inlineStr">
        <is>
          <t>Not published as an official aggregate</t>
        </is>
      </c>
      <c r="E81" s="2" t="inlineStr">
        <is>
          <t>No official source</t>
        </is>
      </c>
      <c r="F81" s="2" t="inlineStr"/>
      <c r="G81" s="2" t="inlineStr">
        <is>
          <t>FPDS records place of performance (domestic vs. international) per action; microdata available via FPDS/USASpending but no official government-wide aggregate counts are published.</t>
        </is>
      </c>
    </row>
    <row r="82" ht="26" customHeight="1">
      <c r="A82" s="2" t="inlineStr">
        <is>
          <t>Value For Money, Fair Competition &amp; Transparency</t>
        </is>
      </c>
      <c r="B82" s="2" t="inlineStr">
        <is>
          <t>Value of domestic contract awards (in USD)</t>
        </is>
      </c>
      <c r="C82" s="2" t="inlineStr">
        <is>
          <t>N/A</t>
        </is>
      </c>
      <c r="D82" s="2" t="inlineStr">
        <is>
          <t>Not published as an official aggregate</t>
        </is>
      </c>
      <c r="E82" s="2" t="inlineStr">
        <is>
          <t>No official source</t>
        </is>
      </c>
      <c r="F82" s="2" t="inlineStr"/>
      <c r="G82" s="2" t="inlineStr">
        <is>
          <t>See domestic-count row above.</t>
        </is>
      </c>
    </row>
    <row r="83" ht="26" customHeight="1">
      <c r="A83" s="2" t="inlineStr">
        <is>
          <t>Value For Money, Fair Competition &amp; Transparency</t>
        </is>
      </c>
      <c r="B83" s="2" t="inlineStr">
        <is>
          <t>Number of international contract awards</t>
        </is>
      </c>
      <c r="C83" s="2" t="inlineStr">
        <is>
          <t>N/A</t>
        </is>
      </c>
      <c r="D83" s="2" t="inlineStr">
        <is>
          <t>Not published as an official aggregate</t>
        </is>
      </c>
      <c r="E83" s="2" t="inlineStr">
        <is>
          <t>No official source</t>
        </is>
      </c>
      <c r="F83" s="2" t="inlineStr"/>
      <c r="G83" s="2" t="inlineStr">
        <is>
          <t>See domestic-count row above.</t>
        </is>
      </c>
    </row>
    <row r="84" ht="26" customHeight="1">
      <c r="A84" s="2" t="inlineStr">
        <is>
          <t>Value For Money, Fair Competition &amp; Transparency</t>
        </is>
      </c>
      <c r="B84" s="2" t="inlineStr">
        <is>
          <t>Value of international contract awards (in USD)</t>
        </is>
      </c>
      <c r="C84" s="2" t="inlineStr">
        <is>
          <t>N/A</t>
        </is>
      </c>
      <c r="D84" s="2" t="inlineStr">
        <is>
          <t>Not published as an official aggregate</t>
        </is>
      </c>
      <c r="E84" s="2" t="inlineStr">
        <is>
          <t>No official source</t>
        </is>
      </c>
      <c r="F84" s="2" t="inlineStr"/>
      <c r="G84" s="2" t="inlineStr">
        <is>
          <t>See domestic-count row above.</t>
        </is>
      </c>
    </row>
    <row r="85" ht="39" customHeight="1">
      <c r="A85" s="2" t="inlineStr">
        <is>
          <t>Value For Money, Fair Competition &amp; Transparency</t>
        </is>
      </c>
      <c r="B85" s="2" t="inlineStr">
        <is>
          <t>Number of open contract awards</t>
        </is>
      </c>
      <c r="C85" s="2" t="inlineStr">
        <is>
          <t>N/A</t>
        </is>
      </c>
      <c r="D85" s="2" t="inlineStr">
        <is>
          <t>Not published as an official aggregate (count)</t>
        </is>
      </c>
      <c r="E85" s="2" t="inlineStr">
        <is>
          <t>No official source publishes award counts by competition status</t>
        </is>
      </c>
      <c r="F85" s="2" t="inlineStr"/>
      <c r="G85" s="2" t="inlineStr">
        <is>
          <t>The US tracks 'extent competed' in FPDS, not 'open vs. direct.' Closest official proxy for open awards is competed obligations (see value row below). Counts are not published.</t>
        </is>
      </c>
    </row>
    <row r="86" ht="39" customHeight="1">
      <c r="A86" s="2" t="inlineStr">
        <is>
          <t>Value For Money, Fair Competition &amp; Transparency</t>
        </is>
      </c>
      <c r="B86" s="2" t="inlineStr">
        <is>
          <t>Value of open contract awards (in USD)</t>
        </is>
      </c>
      <c r="C86" s="2" t="inlineStr">
        <is>
          <t>N/A</t>
        </is>
      </c>
      <c r="D86" s="2">
        <f> $511.8 billion competed (FY2024) - closest official proxy: competed Defense $250.7B + competed Civilian $261.1B; overall competition rate 68% (civilian 84%, defense ~56%)</f>
        <v/>
      </c>
      <c r="E86" s="2" t="inlineStr">
        <is>
          <t>GAO, A Snapshot of Government-Wide Contracting for FY 2024 (interactive dashboard): https://www.gao.gov/blog/snapshot-government-wide-contracting-fy-2024-interactive-dashboard</t>
        </is>
      </c>
      <c r="F86" s="2" t="inlineStr">
        <is>
          <t>FY2024 data; published June 2025</t>
        </is>
      </c>
      <c r="G86" s="2" t="inlineStr">
        <is>
          <t>'Competed' = full and open competition per FPDS extent-competed data; this is the US equivalent of 'open' awards.</t>
        </is>
      </c>
    </row>
    <row r="87" ht="26" customHeight="1">
      <c r="A87" s="2" t="inlineStr">
        <is>
          <t>Value For Money, Fair Competition &amp; Transparency</t>
        </is>
      </c>
      <c r="B87" s="2" t="inlineStr">
        <is>
          <t>Number of direct contract awards</t>
        </is>
      </c>
      <c r="C87" s="2" t="inlineStr">
        <is>
          <t>N/A</t>
        </is>
      </c>
      <c r="D87" s="2" t="inlineStr">
        <is>
          <t>Not published as an official aggregate (count)</t>
        </is>
      </c>
      <c r="E87" s="2" t="inlineStr">
        <is>
          <t>No official source</t>
        </is>
      </c>
      <c r="F87" s="2" t="inlineStr"/>
      <c r="G87" s="2" t="inlineStr">
        <is>
          <t>Closest proxy is non-competed obligations (see value row below); counts not published.</t>
        </is>
      </c>
    </row>
    <row r="88" ht="39" customHeight="1">
      <c r="A88" s="2" t="inlineStr">
        <is>
          <t>Value For Money, Fair Competition &amp; Transparency</t>
        </is>
      </c>
      <c r="B88" s="2" t="inlineStr">
        <is>
          <t>Value of direct contract awards (in USD)</t>
        </is>
      </c>
      <c r="C88" s="2" t="inlineStr">
        <is>
          <t>N/A</t>
        </is>
      </c>
      <c r="D88" s="2">
        <f> $243.3 billion not competed (FY2024) - closest official proxy: not-competed Defense $194.4B + not-competed Civilian $48.9B</f>
        <v/>
      </c>
      <c r="E88" s="2" t="inlineStr">
        <is>
          <t>GAO, A Snapshot of Government-Wide Contracting for FY 2024 (interactive dashboard): https://www.gao.gov/blog/snapshot-government-wide-contracting-fy-2024-interactive-dashboard</t>
        </is>
      </c>
      <c r="F88" s="2" t="inlineStr">
        <is>
          <t>FY2024 data; published June 2025</t>
        </is>
      </c>
      <c r="G88" s="2" t="inlineStr">
        <is>
          <t>'Not competed' (sole-source/other than full and open competition) is the US equivalent of 'direct' awards.</t>
        </is>
      </c>
    </row>
    <row r="89" ht="65" customHeight="1">
      <c r="A89" s="2" t="inlineStr">
        <is>
          <t>Value For Money, Fair Competition &amp; Transparency</t>
        </is>
      </c>
      <c r="B89" s="2" t="inlineStr">
        <is>
          <t>Number of awards to SMEs</t>
        </is>
      </c>
      <c r="C89" s="2" t="inlineStr">
        <is>
          <t>N/A</t>
        </is>
      </c>
      <c r="D89" s="2" t="inlineStr">
        <is>
          <t>Not published as an official aggregate (count)</t>
        </is>
      </c>
      <c r="E89" s="2" t="inlineStr">
        <is>
          <t>GSA FY2024 FPDS small-business data report: https://www.gsa.gov/system/files/Final%20Data%20Report_%20%20FY%202024%20FPDS%20GSA%20Report.pdf</t>
        </is>
      </c>
      <c r="F89" s="2" t="inlineStr">
        <is>
          <t>FY2024</t>
        </is>
      </c>
      <c r="G89" s="2" t="inlineStr">
        <is>
          <t>SBA does not publish a government-wide count of awards to small businesses. Closest count figure: GSA's FY2024 FPDS small-business data report records 3,823,342 contract actions to small business concerns ($176.4B) - but 'contract actions' are not awards and this uses the Section 15(h) methodology, not the scorecard methodology.</t>
        </is>
      </c>
    </row>
    <row r="90" ht="39" customHeight="1">
      <c r="A90" s="2" t="inlineStr">
        <is>
          <t>Value For Money, Fair Competition &amp; Transparency</t>
        </is>
      </c>
      <c r="B90" s="2" t="inlineStr">
        <is>
          <t>Value of awards to SMEs (in USD)</t>
        </is>
      </c>
      <c r="C90" s="2" t="inlineStr">
        <is>
          <t>N/A</t>
        </is>
      </c>
      <c r="D90" s="2" t="inlineStr">
        <is>
          <t>$183.5 billion (FY2024) - 28.76% of eligible prime contract dollars, vs. 23% statutory goal; all-time high</t>
        </is>
      </c>
      <c r="E90" s="2" t="inlineStr">
        <is>
          <t>SBA FY2024 Small Business Procurement Scorecard (announced 2025), via CRS: https://www.congress.gov/crs_external_products/IN/PDF/IN12018/IN12018.10.pdf</t>
        </is>
      </c>
      <c r="F90" s="2" t="inlineStr">
        <is>
          <t>FY2024; scorecard published 2025</t>
        </is>
      </c>
      <c r="G90" s="2" t="inlineStr">
        <is>
          <t>'SME' in the US = small business per SBA size standards (FAR Part 19). Figure covers prime contracts using SBA goaling methodology (excludes certain contracts per Goaling Guidelines).</t>
        </is>
      </c>
    </row>
    <row r="91" ht="39" customHeight="1">
      <c r="A91" s="2" t="inlineStr">
        <is>
          <t>Value For Money, Fair Competition &amp; Transparency</t>
        </is>
      </c>
      <c r="B91" s="2" t="inlineStr">
        <is>
          <t>Number of contract awards under framework agreements</t>
        </is>
      </c>
      <c r="C91" s="2" t="inlineStr">
        <is>
          <t>N/A</t>
        </is>
      </c>
      <c r="D91" s="2" t="inlineStr">
        <is>
          <t>Not published as an official aggregate (count)</t>
        </is>
      </c>
      <c r="E91" s="2" t="inlineStr">
        <is>
          <t>No official source</t>
        </is>
      </c>
      <c r="F91" s="2" t="inlineStr"/>
      <c r="G91" s="2" t="inlineStr">
        <is>
          <t>The US does not use the term 'framework agreements'; the FAR equivalent is indefinite-delivery contracts/vehicles (IDV), FAR Part 16.5. Award counts on IDVs are not published as an official aggregate.</t>
        </is>
      </c>
    </row>
    <row r="92" ht="78" customHeight="1">
      <c r="A92" s="2" t="inlineStr">
        <is>
          <t>Value For Money, Fair Competition &amp; Transparency</t>
        </is>
      </c>
      <c r="B92" s="2" t="inlineStr">
        <is>
          <t>Value of contract awards under framework agreements (in USD)</t>
        </is>
      </c>
      <c r="C92" s="2" t="inlineStr">
        <is>
          <t>N/A</t>
        </is>
      </c>
      <c r="D92" s="2">
        <f> $444.5 billion (FY2024) - derived: 56% of DoD ($445B) + 63% of non-DoD ($310B) contract award dollars obligated on IDVs, the closest official proxy</f>
        <v/>
      </c>
      <c r="E92" s="2" t="inlineStr">
        <is>
          <t>CRS, Types of Federal Procurement Contracts (IF12558), analysis of SAM.gov 'Buying Through Government Acquisition Vehicles' report 10/1/2023-9/30/2024: https://www.congress.gov/crs-product/IF12558</t>
        </is>
      </c>
      <c r="F92" s="2" t="inlineStr">
        <is>
          <t>FY2024</t>
        </is>
      </c>
      <c r="G92" s="2" t="inlineStr">
        <is>
          <t>The US does not use the term 'framework agreements'; the FAR equivalent is indefinite-delivery vehicles (IDVs), FAR Part 16.5. Derivation: 0.56 x $445B (DoD FY2024 obligations) + 0.63 x $310B (non-DoD FY2024 obligations) = $444.5B - a rough estimate from rounded published percentages. IDVs include IDIQ contracts plus BPAs/BOAs (FAR 16.501); the SAM report cannot disaggregate IDIQs alone. Number of awards not published.</t>
        </is>
      </c>
    </row>
    <row r="93" ht="52" customHeight="1">
      <c r="A93" s="2" t="inlineStr">
        <is>
          <t>Value For Money, Fair Competition &amp; Transparency</t>
        </is>
      </c>
      <c r="B93" s="2" t="inlineStr">
        <is>
          <t>Number of contract awards evaluated based on MEAT</t>
        </is>
      </c>
      <c r="C93" s="2" t="inlineStr">
        <is>
          <t>N/A</t>
        </is>
      </c>
      <c r="D93" s="2" t="inlineStr">
        <is>
          <t>N/A - MEAT is not a US procurement concept</t>
        </is>
      </c>
      <c r="E93" s="2" t="inlineStr">
        <is>
          <t>FAR 15.101-2, acquisition.gov: https://www.acquisition.gov/far/15.101-2</t>
        </is>
      </c>
      <c r="F93" s="2" t="inlineStr">
        <is>
          <t>Current</t>
        </is>
      </c>
      <c r="G93" s="2" t="inlineStr">
        <is>
          <t>MEAT (Most Economically Advantageous Tender) is an EU concept. The US uses a 'best value' continuum: the tradeoff process (FAR 15.101-1) and Lowest Price Technically Acceptable (FAR 15.101-2). Suggest explanatory text rather than a number.</t>
        </is>
      </c>
    </row>
    <row r="94" ht="26" customHeight="1">
      <c r="A94" s="2" t="inlineStr">
        <is>
          <t>Value For Money, Fair Competition &amp; Transparency</t>
        </is>
      </c>
      <c r="B94" s="2" t="inlineStr">
        <is>
          <t>Value of contract awards evaluated based on MEAT (in USD)</t>
        </is>
      </c>
      <c r="C94" s="2" t="inlineStr">
        <is>
          <t>N/A</t>
        </is>
      </c>
      <c r="D94" s="2" t="inlineStr">
        <is>
          <t>N/A - MEAT is not a US procurement concept</t>
        </is>
      </c>
      <c r="E94" s="2" t="inlineStr">
        <is>
          <t>FAR 15.101-2, acquisition.gov: https://www.acquisition.gov/far/15.101-2</t>
        </is>
      </c>
      <c r="F94" s="2" t="inlineStr">
        <is>
          <t>Current</t>
        </is>
      </c>
      <c r="G94" s="2" t="inlineStr">
        <is>
          <t>See row above.</t>
        </is>
      </c>
    </row>
    <row r="95" ht="65" customHeight="1">
      <c r="A95" s="2" t="inlineStr">
        <is>
          <t>Value For Money, Fair Competition &amp; Transparency</t>
        </is>
      </c>
      <c r="B95" s="2" t="inlineStr">
        <is>
          <t>Number of contract awards evaluated based on Lowest Price method</t>
        </is>
      </c>
      <c r="C95" s="2" t="inlineStr">
        <is>
          <t>N/A</t>
        </is>
      </c>
      <c r="D95" s="2" t="inlineStr">
        <is>
          <t>Not published as an official aggregate</t>
        </is>
      </c>
      <c r="E95" s="2" t="inlineStr">
        <is>
          <t>FAR 15.101-2: https://www.acquisition.gov/far/15.101-2 ; context: GAO-19-691: https://www.gao.gov/assets/710/702311.pdf</t>
        </is>
      </c>
      <c r="F95" s="2" t="inlineStr">
        <is>
          <t>Current; GAO-19-691 sample FY2018</t>
        </is>
      </c>
      <c r="G95" s="2" t="inlineStr">
        <is>
          <t>US equivalent is Lowest Price Technically Acceptable (LPTA), FAR 15.101-2: award to the lowest-priced technically acceptable offer; no tradeoffs permitted. No official LPTA award counts. Context only: GAO-19-691 sample estimate found selected DoD components used LPTA for ~25% of competitive contracts/orders &gt;= $5M in FY2018 vs. ~7% at selected civilian agencies.</t>
        </is>
      </c>
    </row>
    <row r="96" ht="26" customHeight="1">
      <c r="A96" s="2" t="inlineStr">
        <is>
          <t>Value For Money, Fair Competition &amp; Transparency</t>
        </is>
      </c>
      <c r="B96" s="2" t="inlineStr">
        <is>
          <t>Value of contract awards evaluated based on Lowest Price method (in USD)</t>
        </is>
      </c>
      <c r="C96" s="2" t="inlineStr">
        <is>
          <t>N/A</t>
        </is>
      </c>
      <c r="D96" s="2" t="inlineStr">
        <is>
          <t>Not published as an official aggregate</t>
        </is>
      </c>
      <c r="E96" s="2" t="inlineStr">
        <is>
          <t>No official source</t>
        </is>
      </c>
      <c r="F96" s="2" t="inlineStr"/>
      <c r="G96" s="2" t="inlineStr">
        <is>
          <t>See row above.</t>
        </is>
      </c>
    </row>
    <row r="97" ht="39" customHeight="1">
      <c r="A97" s="2" t="inlineStr">
        <is>
          <t>Value For Money, Fair Competition &amp; Transparency</t>
        </is>
      </c>
      <c r="B97" s="2" t="inlineStr">
        <is>
          <t>Average number of bidders per tender for goods contracts</t>
        </is>
      </c>
      <c r="C97" s="2" t="inlineStr">
        <is>
          <t>N/A</t>
        </is>
      </c>
      <c r="D97" s="2" t="inlineStr">
        <is>
          <t>Not published as an official aggregate</t>
        </is>
      </c>
      <c r="E97" s="2" t="inlineStr">
        <is>
          <t>No official source</t>
        </is>
      </c>
      <c r="F97" s="2" t="inlineStr"/>
      <c r="G97" s="2" t="inlineStr">
        <is>
          <t>FPDS records 'number of offers received' per contract action; a government-wide average (overall or by goods/works/services) is not published by GAO, GSA, or SBA.</t>
        </is>
      </c>
    </row>
    <row r="98" ht="26" customHeight="1">
      <c r="A98" s="2" t="inlineStr">
        <is>
          <t>Value For Money, Fair Competition &amp; Transparency</t>
        </is>
      </c>
      <c r="B98" s="2" t="inlineStr">
        <is>
          <t>Average number of bidders per tender for works contracts</t>
        </is>
      </c>
      <c r="C98" s="2" t="inlineStr">
        <is>
          <t>N/A</t>
        </is>
      </c>
      <c r="D98" s="2" t="inlineStr">
        <is>
          <t>Not published as an official aggregate</t>
        </is>
      </c>
      <c r="E98" s="2" t="inlineStr">
        <is>
          <t>No official source</t>
        </is>
      </c>
      <c r="F98" s="2" t="inlineStr"/>
      <c r="G98" s="2" t="inlineStr">
        <is>
          <t>See goods row above.</t>
        </is>
      </c>
    </row>
    <row r="99" ht="26" customHeight="1">
      <c r="A99" s="2" t="inlineStr">
        <is>
          <t>Value For Money, Fair Competition &amp; Transparency</t>
        </is>
      </c>
      <c r="B99" s="2" t="inlineStr">
        <is>
          <t>Average number of bidders per tender for services contracts</t>
        </is>
      </c>
      <c r="C99" s="2" t="inlineStr">
        <is>
          <t>N/A</t>
        </is>
      </c>
      <c r="D99" s="2" t="inlineStr">
        <is>
          <t>Not published as an official aggregate</t>
        </is>
      </c>
      <c r="E99" s="2" t="inlineStr">
        <is>
          <t>No official source</t>
        </is>
      </c>
      <c r="F99" s="2" t="inlineStr"/>
      <c r="G99" s="2" t="inlineStr">
        <is>
          <t>See goods row above.</t>
        </is>
      </c>
    </row>
    <row r="100" ht="78" customHeight="1">
      <c r="A100" s="2" t="inlineStr">
        <is>
          <t>Value For Money, Fair Competition &amp; Transparency</t>
        </is>
      </c>
      <c r="B100" s="2" t="inlineStr">
        <is>
          <t>Number of accepted/justified complaints</t>
        </is>
      </c>
      <c r="C100" s="2" t="inlineStr">
        <is>
          <t>N/A</t>
        </is>
      </c>
      <c r="D100" s="2" t="inlineStr">
        <is>
          <t>61 sustained (FY2024) - closest official proxy</t>
        </is>
      </c>
      <c r="E100" s="2" t="inlineStr">
        <is>
          <t>GAO Bid Protest Annual Report to Congress for FY2024 (B-158766): https://www.gao.gov/products/gao-25-900611</t>
        </is>
      </c>
      <c r="F100" s="2" t="inlineStr">
        <is>
          <t>FY2024; published Nov 14, 2024</t>
        </is>
      </c>
      <c r="G100" s="2" t="inlineStr">
        <is>
          <t>1,803 cases filed (1,740 protests, 33 cost claims, 30 reconsideration requests); 1,706 closed; 16% sustain rate; 52% effectiveness rate (sustains + voluntary agency corrective action). GAO does not use 'accepted/justified'; sustained protests are the equivalent. The 52% effectiveness rate is the more meaningful success measure since most relief comes via agency corrective action before a merits decision.</t>
        </is>
      </c>
    </row>
    <row r="101" ht="52" customHeight="1">
      <c r="A101" s="2" t="inlineStr">
        <is>
          <t>Value For Money, Fair Competition &amp; Transparency</t>
        </is>
      </c>
      <c r="B101" s="2" t="inlineStr">
        <is>
          <t>Number of rejected/unjustified complaints</t>
        </is>
      </c>
      <c r="C101" s="2" t="inlineStr">
        <is>
          <t>N/A</t>
        </is>
      </c>
      <c r="D101" s="2">
        <f> 325-326 denied on the merits (FY2024)</f>
        <v/>
      </c>
      <c r="E101" s="2" t="inlineStr">
        <is>
          <t>GAO Bid Protest Annual Report to Congress for FY2024: https://www.gao.gov/products/gao-25-900611</t>
        </is>
      </c>
      <c r="F101" s="2" t="inlineStr">
        <is>
          <t>FY2024; published Nov 14, 2024</t>
        </is>
      </c>
      <c r="G101" s="2" t="inlineStr">
        <is>
          <t>Derived: ~386-387 merit (sustain+deny) decisions minus 61 sustains. GAO reports merit decisions; 'denied' is the equivalent of rejected. Most filed protests do not reach a merits decision (dismissed/withdrawn after corrective action).</t>
        </is>
      </c>
    </row>
    <row r="102" ht="26" customHeight="1">
      <c r="A102" s="2" t="inlineStr">
        <is>
          <t>Value For Money, Fair Competition &amp; Transparency</t>
        </is>
      </c>
      <c r="B102" s="2" t="inlineStr">
        <is>
          <t>Number of complaints under investigation</t>
        </is>
      </c>
      <c r="C102" s="2" t="inlineStr">
        <is>
          <t>N/A</t>
        </is>
      </c>
      <c r="D102" s="2" t="inlineStr">
        <is>
          <t>Not tracked in these terms by GAO</t>
        </is>
      </c>
      <c r="E102" s="2" t="inlineStr">
        <is>
          <t>No official source</t>
        </is>
      </c>
      <c r="F102" s="2" t="inlineStr"/>
      <c r="G102" s="2" t="inlineStr">
        <is>
          <t>GAO protests are adjudicated, not 'investigated'; GAO does not publish a pending/under-investigation count.</t>
        </is>
      </c>
    </row>
    <row r="103" ht="52" customHeight="1">
      <c r="A103" s="2" t="inlineStr">
        <is>
          <t>Value For Money, Fair Competition &amp; Transparency</t>
        </is>
      </c>
      <c r="B103" s="2" t="inlineStr">
        <is>
          <t>Complaint resolution period (include average resolution time in days)</t>
        </is>
      </c>
      <c r="C103" s="2" t="inlineStr">
        <is>
          <t>N/A</t>
        </is>
      </c>
      <c r="D103" s="2" t="inlineStr">
        <is>
          <t>100 days - statutory maximum; GAO issued all FY2024 final protest decisions within 100 days</t>
        </is>
      </c>
      <c r="E103" s="2" t="inlineStr">
        <is>
          <t>31 U.S.C. section 3554(a)(1); GAO FY2024 bid protest report: https://www.gao.gov/products/gao-25-900611</t>
        </is>
      </c>
      <c r="F103" s="2" t="inlineStr">
        <is>
          <t>FY2024; Nov 14, 2024</t>
        </is>
      </c>
      <c r="G103" s="2" t="inlineStr">
        <is>
          <t>GAO's annual report does not publish a single average-days-to-resolution figure; the statutory 100-day deadline (from protest filing to Comptroller General decision) is the authoritative benchmark, and GAO met it for every FY2024 protest.</t>
        </is>
      </c>
    </row>
    <row r="104" ht="26" customHeight="1">
      <c r="A104" s="2" t="inlineStr">
        <is>
          <t>Value For Money, Fair Competition &amp; Transparency</t>
        </is>
      </c>
      <c r="B104" s="2" t="inlineStr">
        <is>
          <t>Number of cancelled procurement procedures</t>
        </is>
      </c>
      <c r="C104" s="2" t="inlineStr">
        <is>
          <t>N/A</t>
        </is>
      </c>
      <c r="D104" s="2" t="inlineStr">
        <is>
          <t>Not published as an official aggregate</t>
        </is>
      </c>
      <c r="E104" s="2" t="inlineStr">
        <is>
          <t>No official source</t>
        </is>
      </c>
      <c r="F104" s="2" t="inlineStr"/>
      <c r="G104" s="2" t="inlineStr">
        <is>
          <t>FPDS records contract-action reasons but cancelled solicitations are not tracked as a government-wide aggregate.</t>
        </is>
      </c>
    </row>
    <row r="105" ht="78" customHeight="1">
      <c r="A105" s="2" t="inlineStr">
        <is>
          <t>Value For Money, Fair Competition &amp; Transparency</t>
        </is>
      </c>
      <c r="B105" s="2" t="inlineStr">
        <is>
          <t>Value of annual contracts (in USD)</t>
        </is>
      </c>
      <c r="C105" s="2" t="inlineStr">
        <is>
          <t>694,000,000,000</t>
        </is>
      </c>
      <c r="D105" s="2" t="inlineStr">
        <is>
          <t>$755 billion (FY2024) - federal procurement obligations reported to FPDS</t>
        </is>
      </c>
      <c r="E105" s="2" t="inlineStr">
        <is>
          <t>GAO-25-107469, Federal Spending Transparency: https://files.gao.gov/reports/GAO-25-107469/index.html</t>
        </is>
      </c>
      <c r="F105" s="2" t="inlineStr">
        <is>
          <t>FY2024 (Oct 1, 2023 - Sep 30, 2024); published December 2024</t>
        </is>
      </c>
      <c r="G105" s="2" t="inlineStr">
        <is>
          <t>OUTDATED on portal (2022 figure). FPDS is the authoritative federal procurement data source. GAO's FY2024 contracting snapshot shows the same total: civilian $310B (services $256B + products $54B) + defense $445B (services $240B + products $205B) = $755B. (GSA's FY2024 FPDS executive summary uses a different methodology and reports $774B 'contract expenditures' - the $755B FPDS-obligations figure is the standard government-wide headline.)</t>
        </is>
      </c>
    </row>
    <row r="106" ht="52" customHeight="1">
      <c r="A106" s="2" t="inlineStr">
        <is>
          <t>Value For Money, Fair Competition &amp; Transparency</t>
        </is>
      </c>
      <c r="B106" s="2" t="inlineStr">
        <is>
          <t>Procurement statistics</t>
        </is>
      </c>
      <c r="C106" s="2" t="inlineStr">
        <is>
          <t>https://www.gao.gov/blog/snapshot-government-wide-contracting-fy-2022</t>
        </is>
      </c>
      <c r="D106" s="2" t="inlineStr">
        <is>
          <t>Update link to: GAO, A Snapshot of Government-Wide Contracting for FY 2024 (interactive dashboard): https://www.gao.gov/blog/snapshot-government-wide-contracting-fy-2024-interactive-dashboard</t>
        </is>
      </c>
      <c r="E106" s="2" t="inlineStr">
        <is>
          <t>GAO WatchBlog</t>
        </is>
      </c>
      <c r="F106" s="2" t="inlineStr">
        <is>
          <t>FY2024 data; published June 2025</t>
        </is>
      </c>
      <c r="G106" s="2" t="inlineStr">
        <is>
          <t>PERIOD-BOUND on portal (FY2022 blog link). GAO publishes this snapshot annually; replace the FY2022 blog link with the FY2024 version and refresh yearly. Direct dashboard: https://files.gao.gov/multimedia/Federal_Government_Contracting-FY2024/index.html</t>
        </is>
      </c>
    </row>
    <row r="107" ht="65" customHeight="1">
      <c r="A107" s="2" t="inlineStr">
        <is>
          <t>Procurement Cycle Metrics</t>
        </is>
      </c>
      <c r="B107" s="2" t="inlineStr">
        <is>
          <t>Number of days from advertisement to contract award</t>
        </is>
      </c>
      <c r="C107" s="2" t="inlineStr">
        <is>
          <t>N/A</t>
        </is>
      </c>
      <c r="D107" s="2" t="inlineStr">
        <is>
          <t>Not published as an official aggregate</t>
        </is>
      </c>
      <c r="E107" s="2" t="inlineStr">
        <is>
          <t>No official government-wide source</t>
        </is>
      </c>
      <c r="F107" s="2" t="inlineStr"/>
      <c r="G107" s="2" t="inlineStr">
        <is>
          <t>The US tracks Procurement Administrative Lead Time (PALT) at the individual agency level (typically solicitation-to-award), but no official government-wide average or aggregate is published by GAO, GSA, or OMB. Per-action timing is derivable from FPDS microdata (solicitation/award dates) but no official aggregate exists.</t>
        </is>
      </c>
    </row>
    <row r="108" ht="39" customHeight="1">
      <c r="A108" s="2" t="inlineStr">
        <is>
          <t>Procurement Cycle Metrics</t>
        </is>
      </c>
      <c r="B108" s="2" t="inlineStr">
        <is>
          <t>Average time for bid evaluation</t>
        </is>
      </c>
      <c r="C108" s="2" t="inlineStr">
        <is>
          <t>N/A</t>
        </is>
      </c>
      <c r="D108" s="2" t="inlineStr">
        <is>
          <t>Not published as an official aggregate</t>
        </is>
      </c>
      <c r="E108" s="2" t="inlineStr">
        <is>
          <t>No official government-wide source</t>
        </is>
      </c>
      <c r="F108" s="2" t="inlineStr"/>
      <c r="G108" s="2" t="inlineStr">
        <is>
          <t>No federal agency publishes a government-wide average bid/proposal evaluation time. PALT is the closest tracked concept and is also not aggregated government-wide.</t>
        </is>
      </c>
    </row>
    <row r="109" ht="117" customHeight="1">
      <c r="A109" s="2" t="inlineStr">
        <is>
          <t>Sustainable Public Procurement - Environment indicators</t>
        </is>
      </c>
      <c r="B109" s="2" t="inlineStr">
        <is>
          <t>The government uses green public procurement for certain sectors</t>
        </is>
      </c>
      <c r="C109" s="2" t="inlineStr">
        <is>
          <t>N/A</t>
        </is>
      </c>
      <c r="D109" s="2" t="inlineStr">
        <is>
          <t>Yes - government-wide (applies to all contract actions for products, services, and construction), with mandatory preference programs in: energy- and water-consuming products incl. buildings/facilities and vehicles (NECPA; FAR 23.107-3); products with recovered materials (RCRA; FAR 23.107-1); biobased products incl. agriculture/forestry-derived materials (FSRIA; FAR 23.107-2); electronics and multi-attribute products (EPA ecolabels incl. EPEAT; FAR 23.108-3); chemically intensive products (EPA Safer Choice; FAR 23.108-2); water-efficient products (EPA WaterSense; FAR 23.108-1); alternatives to ozone-depleting substances (Clean Air Act; FAR 23.107-4)</t>
        </is>
      </c>
      <c r="E109" s="2" t="inlineStr">
        <is>
          <t>FAR Part 23, Subpart 23.1: https://www.acquisition.gov/far/part-23</t>
        </is>
      </c>
      <c r="F109" s="2" t="inlineStr">
        <is>
          <t>FAR text as currently published; accessed 2026-09-29</t>
        </is>
      </c>
      <c r="G109" s="2" t="inlineStr">
        <is>
          <t>The former Federal Sustainability Plan (EO 14057) sector targets (electricity, vehicles, buildings, procurement) were revoked Jan 20, 2025; White House: https://www.whitehouse.gov/presidential-actions/2025/01/initial-rescissions-of-harmful-executive-orders-and-actions/</t>
        </is>
      </c>
    </row>
    <row r="110" ht="26" customHeight="1">
      <c r="A110" s="2" t="inlineStr">
        <is>
          <t>Sustainable Public Procurement - Environment indicators</t>
        </is>
      </c>
      <c r="B110" s="2" t="inlineStr">
        <is>
          <t>Are any green public procurement practices mandatory? (Y/N)</t>
        </is>
      </c>
      <c r="C110" s="2" t="inlineStr">
        <is>
          <t>N/A</t>
        </is>
      </c>
      <c r="D110" s="2" t="inlineStr">
        <is>
          <t>Yes</t>
        </is>
      </c>
      <c r="E110" s="2" t="inlineStr">
        <is>
          <t>FAR Part 23, Subpart 23.1: https://www.acquisition.gov/far/part-23</t>
        </is>
      </c>
      <c r="F110" s="2" t="inlineStr">
        <is>
          <t>FAR text as currently published; accessed 2026-09-29</t>
        </is>
      </c>
      <c r="G110" s="2" t="inlineStr">
        <is>
          <t>Mandatory to the 'maximum extent practicable,' with exceptions/exemptions (23.104-23.106).</t>
        </is>
      </c>
    </row>
    <row r="111" ht="156" customHeight="1">
      <c r="A111" s="2" t="inlineStr">
        <is>
          <t>Sustainable Public Procurement - Environment indicators</t>
        </is>
      </c>
      <c r="B111" s="2" t="inlineStr">
        <is>
          <t>Description of mandatory green public procurement practices</t>
        </is>
      </c>
      <c r="C111" s="2" t="inlineStr">
        <is>
          <t>N/A</t>
        </is>
      </c>
      <c r="D111" s="2" t="inlineStr">
        <is>
          <t>FAR 23.103 requires agencies to 'procure sustainable products and services to the maximum extent practicable,' implemented through mandatory statutory purchasing programs: (a) 23.107-1 - EPA-designated products with recovered materials under RCRA (42 U.S.C. 6962): agencies must purchase conforming products and maintain affirmative procurement programs (preaward certification, annual review); (b) 23.107-2 - USDA BioPreferred biobased products (7 U.S.C. 8102): agencies must purchase conforming products with affirmative procurement programs; (c) 23.107-3 - ENERGY STAR/FEMP-designated energy- and water-consuming products (42 U.S.C. 8259b): agencies shall purchase compliant products; (d) 23.107-4 - Clean Air Act substitutes for ozone-depleting substances (42 U.S.C. 7671 et seq.). Clause 52.223-23 (Sustainable Products and Services) must be in solicitations/contracts per 23.109(a)</t>
        </is>
      </c>
      <c r="E111" s="2" t="inlineStr">
        <is>
          <t>FAR Part 23, Subpart 23.1: https://www.acquisition.gov/far/part-23</t>
        </is>
      </c>
      <c r="F111" s="2" t="inlineStr">
        <is>
          <t>FAR text as currently published; accessed 2026-09-29</t>
        </is>
      </c>
      <c r="G111" s="2" t="inlineStr">
        <is>
          <t>The prior '95% of new contract actions' formulation no longer appears in the current FAR text. EO 14057 (Dec 2021) was revoked Jan 20, 2025.</t>
        </is>
      </c>
    </row>
    <row r="112" ht="65" customHeight="1">
      <c r="A112" s="2" t="inlineStr">
        <is>
          <t>Sustainable Public Procurement - Environment indicators</t>
        </is>
      </c>
      <c r="B112" s="2" t="inlineStr">
        <is>
          <t>Public Procurement Law requirement for use of green public procurement practices</t>
        </is>
      </c>
      <c r="C112" s="2" t="inlineStr">
        <is>
          <t>N/A</t>
        </is>
      </c>
      <c r="D112" s="2" t="inlineStr">
        <is>
          <t>FAR Part 23 ('Environment, Sustainable Acquisition, and Material Safety'), esp. Subpart 23.1, sections 23.103-23.109; statutory bases: RCRA (42 U.S.C. 6962), Farm Security and Rural Investment Act (7 U.S.C. 8102), National Energy Conservation Policy Act (42 U.S.C. 8259b), Clean Air Act Title VI (42 U.S.C. 7671 et seq.)</t>
        </is>
      </c>
      <c r="E112" s="2" t="inlineStr">
        <is>
          <t>FAR Part 23, Subpart 23.1: https://www.acquisition.gov/far/part-23</t>
        </is>
      </c>
      <c r="F112" s="2" t="inlineStr">
        <is>
          <t>FAR text as currently published; accessed 2026-09-29</t>
        </is>
      </c>
      <c r="G112" s="2" t="inlineStr">
        <is>
          <t>FAR 23.102 still cites EO 14057 section 208 and OMB/CEQ M-22-06 as authorities, but EO 14057 was revoked Jan 20, 2025.</t>
        </is>
      </c>
    </row>
    <row r="113" ht="65" customHeight="1">
      <c r="A113" s="2" t="inlineStr">
        <is>
          <t>Sustainable Public Procurement - Environment indicators</t>
        </is>
      </c>
      <c r="B113" s="2" t="inlineStr">
        <is>
          <t>Lead agency / governance body responsible for green public procurement</t>
        </is>
      </c>
      <c r="C113" s="2" t="inlineStr">
        <is>
          <t>N/A</t>
        </is>
      </c>
      <c r="D113" s="2" t="inlineStr">
        <is>
          <t>Council on Environmental Quality (CEQ), Office of the Federal Chief Sustainability Officer - federal sustainability lead; Office of Federal Procurement Policy (OFPP)/OMB for government-wide acquisition policy; GSA for government-wide procurement vehicles and the Green Procurement Compilation; CEQ receives agency exemption notices under FAR 23.106(b)</t>
        </is>
      </c>
      <c r="E113" s="2" t="inlineStr">
        <is>
          <t>Office of the Federal Chief Sustainability Officer: https://www.sustainability.gov/ ; FAR Part 23 sections 23.102, 23.106: https://www.acquisition.gov/far/part-23</t>
        </is>
      </c>
      <c r="F113" s="2" t="inlineStr">
        <is>
          <t>Accessed 2026-09-29</t>
        </is>
      </c>
      <c r="G113" s="2" t="inlineStr">
        <is>
          <t>The OFCSO's lead role was anchored in EO 14057 section 6, revoked Jan 20, 2025; the site remains current.</t>
        </is>
      </c>
    </row>
    <row r="114" ht="39" customHeight="1">
      <c r="A114" s="2" t="inlineStr">
        <is>
          <t>Sustainable Public Procurement - Environment indicators</t>
        </is>
      </c>
      <c r="B114" s="2" t="inlineStr">
        <is>
          <t>Spend targets for green public procurement (% spend)</t>
        </is>
      </c>
      <c r="C114" s="2" t="inlineStr">
        <is>
          <t>N/A</t>
        </is>
      </c>
      <c r="D114" s="2" t="inlineStr">
        <is>
          <t>Not published by official sources - no percentage-of-spend target for green procurement is published</t>
        </is>
      </c>
      <c r="E114" s="2" t="inlineStr">
        <is>
          <t>FAR Part 23, Subpart 23.1: https://www.acquisition.gov/far/part-23</t>
        </is>
      </c>
      <c r="F114" s="2" t="inlineStr">
        <is>
          <t>FAR text as currently published; accessed 2026-09-29</t>
        </is>
      </c>
      <c r="G114" s="2" t="inlineStr">
        <is>
          <t>FAR 23.103 sets no % or $ target ('maximum extent practicable'); the earlier 95%-of-contract-actions provision was removed. The revoked Federal Sustainability Plan set outcome goals, not spend targets.</t>
        </is>
      </c>
    </row>
    <row r="115" ht="39" customHeight="1">
      <c r="A115" s="2" t="inlineStr">
        <is>
          <t>Sustainable Public Procurement - Environment indicators</t>
        </is>
      </c>
      <c r="B115" s="2" t="inlineStr">
        <is>
          <t>Spend targets for green public procurement ($ spend)</t>
        </is>
      </c>
      <c r="C115" s="2" t="inlineStr">
        <is>
          <t>N/A</t>
        </is>
      </c>
      <c r="D115" s="2" t="inlineStr">
        <is>
          <t>Not published by official sources - no dollar spend target for green procurement is published</t>
        </is>
      </c>
      <c r="E115" s="2" t="inlineStr">
        <is>
          <t>FAR Part 23, Subpart 23.1: https://www.acquisition.gov/far/part-23</t>
        </is>
      </c>
      <c r="F115" s="2" t="inlineStr">
        <is>
          <t>FAR text as currently published; accessed 2026-09-29</t>
        </is>
      </c>
      <c r="G115" s="2" t="inlineStr">
        <is>
          <t>Context only: total federal contract expenditures were ~$755B in FY2024 (GAO-25-107469) and $774B (GSA FY2024 FPDS report) - these are total procurement, not green procurement.</t>
        </is>
      </c>
    </row>
    <row r="116" ht="78" customHeight="1">
      <c r="A116" s="2" t="inlineStr">
        <is>
          <t>Sustainable Public Procurement - Environment indicators</t>
        </is>
      </c>
      <c r="B116" s="2" t="inlineStr">
        <is>
          <t>Spend targets for green public procurement (Number of priority categories)</t>
        </is>
      </c>
      <c r="C116" s="2" t="inlineStr">
        <is>
          <t>N/A</t>
        </is>
      </c>
      <c r="D116" s="2" t="inlineStr">
        <is>
          <t>Not published by official sources - no fixed number of priority green-procurement spend categories is published as a target</t>
        </is>
      </c>
      <c r="E116" s="2" t="inlineStr">
        <is>
          <t>FAR Part 23, Subpart 23.1: https://www.acquisition.gov/far/part-23</t>
        </is>
      </c>
      <c r="F116" s="2" t="inlineStr">
        <is>
          <t>FAR text as currently published; accessed 2026-09-29</t>
        </is>
      </c>
      <c r="G116" s="2" t="inlineStr">
        <is>
          <t>Revoked Federal Sustainability Plan (EO 14057) had set outcome goals - 100% carbon-pollution-free electricity by 2030; 100% zero-emission vehicle acquisitions by 2035 (100% light-duty by 2027); net-zero building portfolio by 2045 (50% reduction by 2032); 65% cut in scope 1-2 GHG from federal operations by 2030; net-zero emissions from federal procurement by 2050 incl. Buy Clean - all revoked Jan 20, 2025.</t>
        </is>
      </c>
    </row>
    <row r="117" ht="78" customHeight="1">
      <c r="A117" s="2" t="inlineStr">
        <is>
          <t>Sustainable Public Procurement - Environment indicators</t>
        </is>
      </c>
      <c r="B117" s="2" t="inlineStr">
        <is>
          <t>Official website on Sustainable Public Procurement (criteria, guidelines, definitions)</t>
        </is>
      </c>
      <c r="C117" s="2" t="inlineStr">
        <is>
          <t>N/A</t>
        </is>
      </c>
      <c r="D117" s="2" t="inlineStr">
        <is>
          <t>https://www.sustainability.gov (Office of the Federal Chief Sustainability Officer - federal sustainability portal); criteria/guidelines: Green Procurement Compilation (GPC), the FAR-designated resource for identifying sustainable products/services requirements by purchase category - https://sftool.gov/greenprocurement (FAR 23.104(d)); EPA 'Buying Green for Federal Purchasers' - https://www.epa.gov/greenerproducts/buying-green-federal-purchasers</t>
        </is>
      </c>
      <c r="E117" s="2" t="inlineStr">
        <is>
          <t>FAR 23.104(d): https://www.acquisition.gov/far/part-23 ; EPA page (updated c. July 2026)</t>
        </is>
      </c>
      <c r="F117" s="2" t="inlineStr">
        <is>
          <t>Sep 29, 2026 (access); EPA update c. Jul 2026</t>
        </is>
      </c>
      <c r="G117" s="2" t="inlineStr">
        <is>
          <t>sustainability.gov is the official federal sustainability site; GPC is the criteria resource cited in the FAR.</t>
        </is>
      </c>
    </row>
    <row r="118" ht="26" customHeight="1">
      <c r="A118" s="2" t="inlineStr">
        <is>
          <t>Sustainable Public Procurement - Environment indicators</t>
        </is>
      </c>
      <c r="B118" s="2" t="inlineStr">
        <is>
          <t>Specific green certifications or standards for suppliers (Y/N)</t>
        </is>
      </c>
      <c r="C118" s="2" t="inlineStr">
        <is>
          <t>N/A</t>
        </is>
      </c>
      <c r="D118" s="2" t="inlineStr">
        <is>
          <t>Yes - mandatory purchasing programs name specific product labels/standards (product-level certifications, not supplier-level)</t>
        </is>
      </c>
      <c r="E118" s="2" t="inlineStr">
        <is>
          <t>FAR Part 23, Subpart 23.1: https://www.acquisition.gov/far/part-23</t>
        </is>
      </c>
      <c r="F118" s="2" t="inlineStr">
        <is>
          <t>FAR text as currently published; accessed 2026-09-29</t>
        </is>
      </c>
      <c r="G118" s="2" t="inlineStr">
        <is>
          <t>No supplier-level certification requirement exists; the requirements attach to products/services.</t>
        </is>
      </c>
    </row>
    <row r="119" ht="117" customHeight="1">
      <c r="A119" s="2" t="inlineStr">
        <is>
          <t>Sustainable Public Procurement - Environment indicators</t>
        </is>
      </c>
      <c r="B119" s="2" t="inlineStr">
        <is>
          <t>Description of green certifications or standards</t>
        </is>
      </c>
      <c r="C119" s="2" t="inlineStr">
        <is>
          <t>N/A</t>
        </is>
      </c>
      <c r="D119" s="2" t="inlineStr">
        <is>
          <t>ENERGY STAR-certified and FEMP-designated energy/water-efficient products (FAR 23.107-3; 42 U.S.C. 8259b); EPA WaterSense-labeled water-efficient products (FAR 23.108-1); EPA Safer Choice-certified chemically intensive products (FAR 23.108-2); EPA Recommendations of Specifications, Standards, and Ecolabels for Federal Purchasing - multi-attribute/life-cycle ecolabels incl. EPEAT-registered electronics (FAR 23.108-3); USDA BioPreferred biobased products (FAR 23.107-2; 7 U.S.C. 8102); EPA-designated recovered-materials items under the Comprehensive Procurement Guidelines, 40 CFR part 247 (FAR 23.107-1)</t>
        </is>
      </c>
      <c r="E119" s="2" t="inlineStr">
        <is>
          <t>FAR Part 23, Subpart 23.1: https://www.acquisition.gov/far/part-23 ; EPA Recommendations: https://www.epa.gov/greenerproducts/recommendations-specifications-standards-and-ecolabels-federal-purchasing</t>
        </is>
      </c>
      <c r="F119" s="2" t="inlineStr">
        <is>
          <t>Sep 29, 2026</t>
        </is>
      </c>
      <c r="G119" s="2" t="inlineStr">
        <is>
          <t>All are product-level labels/standards; ENERGY STAR is a joint EPA/DOE program.</t>
        </is>
      </c>
    </row>
    <row r="120" ht="104" customHeight="1">
      <c r="A120" s="2" t="inlineStr">
        <is>
          <t>Sustainable Public Procurement - Environment indicators</t>
        </is>
      </c>
      <c r="B120" s="2" t="inlineStr">
        <is>
          <t>Training toolkit or course on green public procurement description</t>
        </is>
      </c>
      <c r="C120" s="2" t="inlineStr">
        <is>
          <t>N/A</t>
        </is>
      </c>
      <c r="D120" s="2" t="inlineStr">
        <is>
          <t>Federal Acquisition Institute (FAI) courses: FAC 028 'GSA Schedules and Sustainable Acquisition'; FAC 038 'How to Integrate Green into Acquisition'; CLC 046 'DoD Sustainable Procurement Program'; FAC 095 'Climate Adaptation for Program Managers.' Also: FAI media-library item 'Integrating Sustainable Acquisition' (FAR Part 23 guidance, federal labels/standards, acquisition life cycle); USDA BioPreferred training modules; GSA Green Procurement Compilation and SFTool Product Search (300,000+ compliant products); EPA 'Buying Green for Federal Purchasers' training resources</t>
        </is>
      </c>
      <c r="E120" s="2" t="inlineStr">
        <is>
          <t>US Dept. of Commerce, Office of Acquisition Management: https://www.commerce.gov/oam/resources/sustainable-acquisition-tools-training-and-tips ; FAI: https://www.fai.gov/media-library/item/integrating-sustainable-acquisition ; EPA: https://www.epa.gov/greenerproducts/buying-green-federal-purchasers</t>
        </is>
      </c>
      <c r="F120" s="2" t="inlineStr">
        <is>
          <t>FAI item May 10, 2016; EPA update c. Jul 2026; DoC page current (accessed 2026-09-29)</t>
        </is>
      </c>
      <c r="G120" s="2" t="inlineStr">
        <is>
          <t>Caveat: GSA terminated the Energy Act 2020 IT Sustainability Best Practice Guide and the Sustainable IT Procurement Lexicon in Jan-Feb 2025 per presidential directives (GSA directives library, Jan 2025).</t>
        </is>
      </c>
    </row>
    <row r="121" ht="39" customHeight="1">
      <c r="A121" s="2" t="inlineStr">
        <is>
          <t>Sustainable Public Procurement - Environment indicators</t>
        </is>
      </c>
      <c r="B121" s="2" t="inlineStr">
        <is>
          <t>Training toolkit or course link</t>
        </is>
      </c>
      <c r="C121" s="2" t="inlineStr">
        <is>
          <t>N/A</t>
        </is>
      </c>
      <c r="D121" s="2" t="inlineStr">
        <is>
          <t>https://www.fai.gov/media-library/item/integrating-sustainable-acquisition ; https://www.commerce.gov/oam/resources/sustainable-acquisition-tools-training-and-tips ; https://sftool.gov/greenprocurement</t>
        </is>
      </c>
      <c r="E121" s="2" t="inlineStr">
        <is>
          <t>Sources as in the training-description row above</t>
        </is>
      </c>
      <c r="F121" s="2" t="inlineStr">
        <is>
          <t>As above</t>
        </is>
      </c>
      <c r="G121" s="2" t="inlineStr">
        <is>
          <t>FAI courses are delivered via FAI's learning platform; the DoC page enumerates them.</t>
        </is>
      </c>
    </row>
    <row r="122" ht="26" customHeight="1">
      <c r="A122" s="2" t="inlineStr">
        <is>
          <t>Sustainable Public Procurement - Environment indicators</t>
        </is>
      </c>
      <c r="B122" s="2" t="inlineStr">
        <is>
          <t>Green public procurement monitoring tool (Y/N)</t>
        </is>
      </c>
      <c r="C122" s="2" t="inlineStr">
        <is>
          <t>N/A</t>
        </is>
      </c>
      <c r="D122" s="2" t="inlineStr">
        <is>
          <t>Yes - agency-level monitoring is required; no single government-wide published GPP monitoring dashboard identified</t>
        </is>
      </c>
      <c r="E122" s="2" t="inlineStr">
        <is>
          <t>FAR Part 23, Subpart 23.1: https://www.acquisition.gov/far/part-23</t>
        </is>
      </c>
      <c r="F122" s="2" t="inlineStr">
        <is>
          <t>Sep 29, 2026</t>
        </is>
      </c>
      <c r="G122" s="2" t="inlineStr">
        <is>
          <t>See the monitoring-tool description row.</t>
        </is>
      </c>
    </row>
    <row r="123" ht="91" customHeight="1">
      <c r="A123" s="2" t="inlineStr">
        <is>
          <t>Sustainable Public Procurement - Environment indicators</t>
        </is>
      </c>
      <c r="B123" s="2" t="inlineStr">
        <is>
          <t>Green public procurement monitoring tool description</t>
        </is>
      </c>
      <c r="C123" s="2" t="inlineStr">
        <is>
          <t>N/A</t>
        </is>
      </c>
      <c r="D123" s="2" t="inlineStr">
        <is>
          <t>(a) FAR 23.107-1(d) and 23.107-2(d) require agencies with affirmative procurement programs (recovered-materials and biobased products) to conduct annual review and monitoring of program effectiveness, with preaward certification and reporting; (b) FPDS records sustainability/environmental-attribute data elements on contract actions; (c) agency sustainability performance was previously tracked via OMB Sustainability/Energy Scorecards (latest published FY2021 - now dated)</t>
        </is>
      </c>
      <c r="E123" s="2" t="inlineStr">
        <is>
          <t>FAR Part 23, Subpart 23.1: https://www.acquisition.gov/far/part-23 ; DOE, 'Contracting for Efficiency' guide: https://www.energy.gov/sites/default/files/2022-03/femp-best-practices-guide-for-procurement-2022.pdf</t>
        </is>
      </c>
      <c r="F123" s="2" t="inlineStr">
        <is>
          <t>2022 (DOE guide); current FAR (Sep 2026)</t>
        </is>
      </c>
      <c r="G123" s="2" t="inlineStr">
        <is>
          <t>No official government-wide annual aggregate of green procurement awards is published.</t>
        </is>
      </c>
    </row>
    <row r="124" ht="39" customHeight="1">
      <c r="A124" s="2" t="inlineStr">
        <is>
          <t>Sustainable Public Procurement - Environment indicators</t>
        </is>
      </c>
      <c r="B124" s="2" t="inlineStr">
        <is>
          <t>Disposal requirements for goods, equipment, and infrastructure that minimize environmental impacts and maximize recycling and reuse (Y/N)</t>
        </is>
      </c>
      <c r="C124" s="2" t="inlineStr">
        <is>
          <t>N/A</t>
        </is>
      </c>
      <c r="D124" s="2" t="inlineStr">
        <is>
          <t>Yes - disposal hierarchy prioritizes reuse, then donation, then sale; the property-management framework maximizes reuse/recycling in effect</t>
        </is>
      </c>
      <c r="E124" s="2" t="inlineStr">
        <is>
          <t>41 CFR 102-36 (eCFR): https://www.ecfr.gov/api/renderer/v1/content/enhanced/2024-08-29/title-41?subtitle=C&amp;chapter=102&amp;subchapter=B&amp;part=102-36</t>
        </is>
      </c>
      <c r="F124" s="2" t="inlineStr">
        <is>
          <t>Current eCFR; accessed 2026-09-29</t>
        </is>
      </c>
      <c r="G124" s="2" t="inlineStr">
        <is>
          <t>No FAR provision is framed specifically as 'minimizing environmental impact,' but the disposal hierarchy has that effect.</t>
        </is>
      </c>
    </row>
    <row r="125" ht="143" customHeight="1">
      <c r="A125" s="2" t="inlineStr">
        <is>
          <t>Sustainable Public Procurement - Environment indicators</t>
        </is>
      </c>
      <c r="B125" s="2" t="inlineStr">
        <is>
          <t>Disposal requirements for goods, equipment, and infrastructure that minimize environmental impacts and maximize recycling and reuse description</t>
        </is>
      </c>
      <c r="C125" s="2" t="inlineStr">
        <is>
          <t>N/A</t>
        </is>
      </c>
      <c r="D125" s="2" t="inlineStr">
        <is>
          <t>41 CFR 102-36 (GSA Federal Management Regulation): agencies must first offer unneeded personal property for reuse within the agency and to other federal agencies - 'to the maximum extent practicable, fill requirements... by obtaining excess property from other federal agencies in lieu of new procurements' (102-36.35); surplus property is donated to state/local public agencies and eligible nonprofits; unsold surplus is sold competitively; property with no commercial value may be abandoned/destroyed. FAR 8.102 requires excess personal property as the first source of supply before a contract action. FAR Part 45 governs contractor-held government property disposition. DLA Disposition Services and GSA's GSAXcess support reutilization/transfer/donation</t>
        </is>
      </c>
      <c r="E125" s="2" t="inlineStr">
        <is>
          <t>eCFR: https://www.ecfr.gov/api/renderer/v1/content/enhanced/2024-08-29/title-41?subtitle=C&amp;chapter=102&amp;subchapter=B&amp;part=102-36 ; GSA: https://www.gsa.gov/reference/acquiring-excess-federal-personal-property</t>
        </is>
      </c>
      <c r="F125" s="2" t="inlineStr">
        <is>
          <t>Current; accessed 2026-09-29</t>
        </is>
      </c>
      <c r="G125" s="2" t="inlineStr">
        <is>
          <t>GSA terminated certain 2024-25 climate-sustainability procurement guidance (incl. AA-2024-03 Excess Personal Property climate provisions) in Jan-Feb 2025; the underlying regulatory framework (41 CFR 102-36; 40 U.S.C. 521-529) is unaffected.</t>
        </is>
      </c>
    </row>
    <row r="126" ht="39" customHeight="1">
      <c r="A126" s="2" t="inlineStr">
        <is>
          <t>Sustainable Public Procurement - Environment indicators</t>
        </is>
      </c>
      <c r="B126" s="2" t="inlineStr">
        <is>
          <t>Number of annual contract awards evaluated based on green public procurement criteria (total)</t>
        </is>
      </c>
      <c r="C126" s="2" t="inlineStr">
        <is>
          <t>N/A</t>
        </is>
      </c>
      <c r="D126" s="2" t="inlineStr">
        <is>
          <t>Not published by official sources - no government-wide annual aggregate of contract award counts evaluated against green criteria is published</t>
        </is>
      </c>
      <c r="E126" s="2" t="inlineStr">
        <is>
          <t>FPDS via GAO-25-107469: https://files.gao.gov/reports/GAO-25-107469/index.html ; DOE FPDS sustainability-field guidance (2022)</t>
        </is>
      </c>
      <c r="F126" s="2" t="inlineStr">
        <is>
          <t>Sep 25, 2025; 2022</t>
        </is>
      </c>
      <c r="G126" s="2" t="inlineStr">
        <is>
          <t>FPDS collects sustainability/environmental-attribute data elements at the contract-action level, but no official aggregates by total/goods/services/works splits are released.</t>
        </is>
      </c>
    </row>
    <row r="127" ht="39" customHeight="1">
      <c r="A127" s="2" t="inlineStr">
        <is>
          <t>Sustainable Public Procurement - Environment indicators</t>
        </is>
      </c>
      <c r="B127" s="2" t="inlineStr">
        <is>
          <t>Value of annual contract awards evaluated based on green public procurement criteria (total) (in USD)</t>
        </is>
      </c>
      <c r="C127" s="2" t="inlineStr">
        <is>
          <t>N/A</t>
        </is>
      </c>
      <c r="D127" s="2" t="inlineStr">
        <is>
          <t>Not published by official sources</t>
        </is>
      </c>
      <c r="E127" s="2" t="inlineStr">
        <is>
          <t>FPDS via GAO-25-107469: https://files.gao.gov/reports/GAO-25-107469/index.html</t>
        </is>
      </c>
      <c r="F127" s="2" t="inlineStr">
        <is>
          <t>Sep 25, 2025</t>
        </is>
      </c>
      <c r="G127" s="2" t="inlineStr">
        <is>
          <t>See the total-number row above.</t>
        </is>
      </c>
    </row>
    <row r="128" ht="26" customHeight="1">
      <c r="A128" s="2" t="inlineStr">
        <is>
          <t>Sustainable Public Procurement - Environment indicators</t>
        </is>
      </c>
      <c r="B128" s="2" t="inlineStr">
        <is>
          <t>Number of annual contract awards evaluated based on green public procurement criteria (goods)</t>
        </is>
      </c>
      <c r="C128" s="2" t="inlineStr">
        <is>
          <t>N/A</t>
        </is>
      </c>
      <c r="D128" s="2" t="inlineStr">
        <is>
          <t>Not published by official sources</t>
        </is>
      </c>
      <c r="E128" s="2" t="inlineStr">
        <is>
          <t>FPDS via GAO-25-107469: https://files.gao.gov/reports/GAO-25-107469/index.html</t>
        </is>
      </c>
      <c r="F128" s="2" t="inlineStr">
        <is>
          <t>Sep 25, 2025</t>
        </is>
      </c>
      <c r="G128" s="2" t="inlineStr">
        <is>
          <t>See the total-number row above.</t>
        </is>
      </c>
    </row>
    <row r="129" ht="39" customHeight="1">
      <c r="A129" s="2" t="inlineStr">
        <is>
          <t>Sustainable Public Procurement - Environment indicators</t>
        </is>
      </c>
      <c r="B129" s="2" t="inlineStr">
        <is>
          <t>Value of annual contract awards evaluated based on green public procurement criteria (goods) (in USD)</t>
        </is>
      </c>
      <c r="C129" s="2" t="inlineStr">
        <is>
          <t>N/A</t>
        </is>
      </c>
      <c r="D129" s="2" t="inlineStr">
        <is>
          <t>Not published by official sources</t>
        </is>
      </c>
      <c r="E129" s="2" t="inlineStr">
        <is>
          <t>FPDS via GAO-25-107469: https://files.gao.gov/reports/GAO-25-107469/index.html</t>
        </is>
      </c>
      <c r="F129" s="2" t="inlineStr">
        <is>
          <t>Sep 25, 2025</t>
        </is>
      </c>
      <c r="G129" s="2" t="inlineStr">
        <is>
          <t>See the total-number row above.</t>
        </is>
      </c>
    </row>
    <row r="130" ht="26" customHeight="1">
      <c r="A130" s="2" t="inlineStr">
        <is>
          <t>Sustainable Public Procurement - Environment indicators</t>
        </is>
      </c>
      <c r="B130" s="2" t="inlineStr">
        <is>
          <t>Number of annual contract awards evaluated based on green public procurement criteria (services)</t>
        </is>
      </c>
      <c r="C130" s="2" t="inlineStr">
        <is>
          <t>N/A</t>
        </is>
      </c>
      <c r="D130" s="2" t="inlineStr">
        <is>
          <t>Not published by official sources</t>
        </is>
      </c>
      <c r="E130" s="2" t="inlineStr">
        <is>
          <t>FPDS via GAO-25-107469: https://files.gao.gov/reports/GAO-25-107469/index.html</t>
        </is>
      </c>
      <c r="F130" s="2" t="inlineStr">
        <is>
          <t>Sep 25, 2025</t>
        </is>
      </c>
      <c r="G130" s="2" t="inlineStr">
        <is>
          <t>See the total-number row above.</t>
        </is>
      </c>
    </row>
    <row r="131" ht="39" customHeight="1">
      <c r="A131" s="2" t="inlineStr">
        <is>
          <t>Sustainable Public Procurement - Environment indicators</t>
        </is>
      </c>
      <c r="B131" s="2" t="inlineStr">
        <is>
          <t>Value of annual contract awards evaluated based on green public procurement criteria (services) (in USD)</t>
        </is>
      </c>
      <c r="C131" s="2" t="inlineStr">
        <is>
          <t>N/A</t>
        </is>
      </c>
      <c r="D131" s="2" t="inlineStr">
        <is>
          <t>Not published by official sources</t>
        </is>
      </c>
      <c r="E131" s="2" t="inlineStr">
        <is>
          <t>FPDS via GAO-25-107469: https://files.gao.gov/reports/GAO-25-107469/index.html</t>
        </is>
      </c>
      <c r="F131" s="2" t="inlineStr">
        <is>
          <t>Sep 25, 2025</t>
        </is>
      </c>
      <c r="G131" s="2" t="inlineStr">
        <is>
          <t>See the total-number row above.</t>
        </is>
      </c>
    </row>
    <row r="132" ht="26" customHeight="1">
      <c r="A132" s="2" t="inlineStr">
        <is>
          <t>Sustainable Public Procurement - Environment indicators</t>
        </is>
      </c>
      <c r="B132" s="2" t="inlineStr">
        <is>
          <t>Number of annual contract awards evaluated based on green public procurement criteria (works)</t>
        </is>
      </c>
      <c r="C132" s="2" t="inlineStr">
        <is>
          <t>N/A</t>
        </is>
      </c>
      <c r="D132" s="2" t="inlineStr">
        <is>
          <t>Not published by official sources</t>
        </is>
      </c>
      <c r="E132" s="2" t="inlineStr">
        <is>
          <t>FPDS via GAO-25-107469: https://files.gao.gov/reports/GAO-25-107469/index.html</t>
        </is>
      </c>
      <c r="F132" s="2" t="inlineStr">
        <is>
          <t>Sep 25, 2025</t>
        </is>
      </c>
      <c r="G132" s="2" t="inlineStr">
        <is>
          <t>See the total-number row above.</t>
        </is>
      </c>
    </row>
    <row r="133" ht="39" customHeight="1">
      <c r="A133" s="2" t="inlineStr">
        <is>
          <t>Sustainable Public Procurement - Environment indicators</t>
        </is>
      </c>
      <c r="B133" s="2" t="inlineStr">
        <is>
          <t>Value of annual contract awards evaluated based on green public procurement criteria (works) (in USD)</t>
        </is>
      </c>
      <c r="C133" s="2" t="inlineStr">
        <is>
          <t>N/A</t>
        </is>
      </c>
      <c r="D133" s="2" t="inlineStr">
        <is>
          <t>Not published by official sources</t>
        </is>
      </c>
      <c r="E133" s="2" t="inlineStr">
        <is>
          <t>FPDS via GAO-25-107469: https://files.gao.gov/reports/GAO-25-107469/index.html</t>
        </is>
      </c>
      <c r="F133" s="2" t="inlineStr">
        <is>
          <t>Sep 25, 2025</t>
        </is>
      </c>
      <c r="G133" s="2" t="inlineStr">
        <is>
          <t>See the total-number row above.</t>
        </is>
      </c>
    </row>
    <row r="134" ht="130" customHeight="1">
      <c r="A134" s="2" t="inlineStr">
        <is>
          <t>Sustainable Public Procurement - Environment indicators</t>
        </is>
      </c>
      <c r="B134" s="2" t="inlineStr">
        <is>
          <t>Methodology for how green public procurement criteria is in the public procurement process</t>
        </is>
      </c>
      <c r="C134" s="2" t="inlineStr">
        <is>
          <t>N/A</t>
        </is>
      </c>
      <c r="D134" s="2" t="inlineStr">
        <is>
          <t>FAR 23.104 general procedures: requiring activities identify applicable sustainable products/services and purchasing programs in solicitations; contracting officers apply the prioritization order (statutory purchasing programs 23.107 first, then required EPA programs 23.108, prioritizing multi-attribute products); insert clause 52.223-23 (Sustainable Products and Services) unless a written impracticability justification (23.104(a)), exception (23.105), or exemption (23.106) applies; agencies maintain affirmative procurement programs for recovered-materials and biobased products with annual effectiveness monitoring (23.107-1(d), 23.107-2(d)). Reference tool: Green Procurement Compilation (FAR 23.104(d))</t>
        </is>
      </c>
      <c r="E134" s="2" t="inlineStr">
        <is>
          <t>FAR Part 23, Subpart 23.1: https://www.acquisition.gov/far/part-23</t>
        </is>
      </c>
      <c r="F134" s="2" t="inlineStr">
        <is>
          <t>FAR text as currently published; accessed 2026-09-29</t>
        </is>
      </c>
      <c r="G134" s="2" t="inlineStr">
        <is>
          <t>No single published standalone 'GPP methodology' document identified; the FAR procedures above constitute the operative methodology.</t>
        </is>
      </c>
    </row>
    <row r="135" ht="78" customHeight="1">
      <c r="A135" s="2" t="inlineStr">
        <is>
          <t>Sustainable Public Procurement - Social and Economic Indicators</t>
        </is>
      </c>
      <c r="B135" s="2" t="inlineStr">
        <is>
          <t>Public Procurement Law requirement for awards to businesses owned by disadvantaged groups</t>
        </is>
      </c>
      <c r="C135" s="2" t="inlineStr">
        <is>
          <t>N/A</t>
        </is>
      </c>
      <c r="D135" s="2" t="inlineStr">
        <is>
          <t>Yes - 8(a) Business Development program (15 U.S.C. 637(a); FAR Subpart 19.8); 5% statutory government-wide prime-and-subcontract goal for small disadvantaged businesses (15 U.S.C. 644(g)(1)(A)(iv)). Related set-aside authorities: HUBZone (15 U.S.C. 657a; FAR Subpart 19.13; 3% goal) and service-disabled veteran-owned small business (15 U.S.C. 657f; FAR Subpart 19.14; 5% goal per P.L. 118-31)</t>
        </is>
      </c>
      <c r="E135" s="2" t="inlineStr">
        <is>
          <t>SBA 8(a) program: https://www.sba.gov/federal-contracting/contracting-assistance-programs/8a-business-development-program ; FAR Subpart 19.2: https://www.acquisition.gov/far/subpart-19.2 ; CRS Insight IN12018: https://www.congress.gov/crs_external_products/IN/PDF/IN12018/IN12018.10.pdf</t>
        </is>
      </c>
      <c r="F135" s="2" t="inlineStr">
        <is>
          <t>SBA page current (accessed 2026-09-29); CRS IN12018 v.10 (accessed Sep 2026)</t>
        </is>
      </c>
      <c r="G135" s="2" t="inlineStr">
        <is>
          <t>FY2025 8(a) awards fell to 3.7% ($24.3B) of prime dollars. After Ultima Servs. Corp. v. USDA (E.D. Tenn. 2023) struck down the race-based presumption of social disadvantage, SBA suspended it; in Jun 2026 SBA submitted a proposed rule to dismantle the race-based admissions framework (per SBA FY25 scorecard release).</t>
        </is>
      </c>
    </row>
    <row r="136" ht="52" customHeight="1">
      <c r="A136" s="2" t="inlineStr">
        <is>
          <t>Sustainable Public Procurement - Social and Economic Indicators</t>
        </is>
      </c>
      <c r="B136" s="2" t="inlineStr">
        <is>
          <t>Requirement for suppliers to adhere to international labor standards (Y/N)</t>
        </is>
      </c>
      <c r="C136" s="2" t="inlineStr">
        <is>
          <t>N/A</t>
        </is>
      </c>
      <c r="D136" s="2" t="inlineStr">
        <is>
          <t>Yes - but only as U.S. domestic labor standards: FAR Part 22, 'Application of Labor Laws to Government Acquisitions,' requires contractors to comply with U.S. labor laws; no ILO convention or 'international labor standard' is incorporated as such</t>
        </is>
      </c>
      <c r="E136" s="2" t="inlineStr">
        <is>
          <t>FAR Part 22: https://www.acquisition.gov/far/part-22</t>
        </is>
      </c>
      <c r="F136" s="2" t="inlineStr">
        <is>
          <t>FAR text as currently published; accessed 2026-09-29</t>
        </is>
      </c>
      <c r="G136" s="2" t="inlineStr">
        <is>
          <t>Nuance for the portal: FAR Part 22 imposes domestic statutory labor-law obligations (Davis-Bacon, Service Contract Labor Standards, anti-trafficking, child-labor prohibitions), not adherence to ILO conventions.</t>
        </is>
      </c>
    </row>
    <row r="137" ht="52" customHeight="1">
      <c r="A137" s="2" t="inlineStr">
        <is>
          <t>Sustainable Public Procurement - Social and Economic Indicators</t>
        </is>
      </c>
      <c r="B137" s="2" t="inlineStr">
        <is>
          <t>Clause supporting the labor-standards requirement (description)</t>
        </is>
      </c>
      <c r="C137" s="2" t="inlineStr">
        <is>
          <t>N/A</t>
        </is>
      </c>
      <c r="D137" s="2" t="inlineStr">
        <is>
          <t>FAR Part 22 labor clauses: 52.222-50 (Combating Trafficking in Persons); 52.222-19 (Child Labor-Cooperation with Authorities and Remedies, implementing EO 13126); 52.222-6/52.222-7 (Construction Wage Rate Requirements / Davis-Bacon); 52.222-41 (Service Contract Labor Standards)</t>
        </is>
      </c>
      <c r="E137" s="2" t="inlineStr">
        <is>
          <t>FAR Part 22 (Subparts 22.4, 22.10, 22.15, 22.17): https://www.acquisition.gov/far/part-22</t>
        </is>
      </c>
      <c r="F137" s="2" t="inlineStr">
        <is>
          <t>FAR text as currently published; accessed 2026-09-29</t>
        </is>
      </c>
      <c r="G137" s="2" t="inlineStr">
        <is>
          <t>FAR 22.19/52.222-55 (EO 14026 minimum wage) still appear in published FAR text, but EO 14026 was revoked Mar 14, 2025 (EO 14236) and DOL no longer enforces it - do not present 52.222-55 as operative.</t>
        </is>
      </c>
    </row>
    <row r="138" ht="65" customHeight="1">
      <c r="A138" s="2" t="inlineStr">
        <is>
          <t>Sustainable Public Procurement - Social and Economic Indicators</t>
        </is>
      </c>
      <c r="B138" s="2" t="inlineStr">
        <is>
          <t>List of compacts to which the standards refer</t>
        </is>
      </c>
      <c r="C138" s="2" t="inlineStr">
        <is>
          <t>N/A</t>
        </is>
      </c>
      <c r="D138" s="2" t="inlineStr">
        <is>
          <t>Not applicable - FAR Part 22 references no ILO conventions or international compacts; obligations derive from U.S. statutes (40 U.S.C. 3141-3148, Davis-Bacon; 41 U.S.C. 6701 et seq., Service Contract Labor Standards; 22 U.S.C. 7101 et seq., Trafficking Victims Protection Act) and executive orders (EO 13126, EO 13658)</t>
        </is>
      </c>
      <c r="E138" s="2" t="inlineStr">
        <is>
          <t>FAR Part 22: https://www.acquisition.gov/far/part-22</t>
        </is>
      </c>
      <c r="F138" s="2" t="inlineStr">
        <is>
          <t>FAR text as currently published; accessed 2026-09-29</t>
        </is>
      </c>
      <c r="G138" s="2" t="inlineStr">
        <is>
          <t>DOL's Bureau of International Labor Affairs maintains the EO 13126 list of products from forced/indentured child labor (DOL, Dec 1, 2014), but this is a domestic procurement certification requirement, not an international compact.</t>
        </is>
      </c>
    </row>
    <row r="139" ht="52" customHeight="1">
      <c r="A139" s="2" t="inlineStr">
        <is>
          <t>Sustainable Public Procurement - Social and Economic Indicators</t>
        </is>
      </c>
      <c r="B139" s="2" t="inlineStr">
        <is>
          <t>Requirement to source ethically or fairly traded goods</t>
        </is>
      </c>
      <c r="C139" s="2" t="inlineStr">
        <is>
          <t>N/A</t>
        </is>
      </c>
      <c r="D139" s="2" t="inlineStr">
        <is>
          <t>No general 'fair trade' sourcing requirement exists; the closest equivalents are FAR 22.17/52.222-50 (anti-trafficking) and FAR 22.15/52.222-19 (prohibition on acquisition of products produced by forced or indentured child labor under EO 13126)</t>
        </is>
      </c>
      <c r="E139" s="2" t="inlineStr">
        <is>
          <t>FAR Part 22: https://www.acquisition.gov/far/part-22</t>
        </is>
      </c>
      <c r="F139" s="2" t="inlineStr">
        <is>
          <t>FAR text as currently published; accessed 2026-09-29</t>
        </is>
      </c>
      <c r="G139" s="2" t="inlineStr">
        <is>
          <t>EO 13126 (Jun 12, 1999) requires contractors supplying DOL-listed products to certify a good-faith effort that no forced/indentured child labor was used.</t>
        </is>
      </c>
    </row>
    <row r="140" ht="52" customHeight="1">
      <c r="A140" s="2" t="inlineStr">
        <is>
          <t>Sustainable Public Procurement - Social and Economic Indicators</t>
        </is>
      </c>
      <c r="B140" s="2" t="inlineStr">
        <is>
          <t>Spend targets for women-owned businesses (% spend)</t>
        </is>
      </c>
      <c r="C140" s="2" t="inlineStr">
        <is>
          <t>N/A</t>
        </is>
      </c>
      <c r="D140" s="2" t="inlineStr">
        <is>
          <t>5% of the total value of prime contract and subcontract awards (statutory government-wide goal, 15 U.S.C. 644(g)(1)(A)(v)); FY2025 actual was 4.52% of prime dollars - goal missed</t>
        </is>
      </c>
      <c r="E140" s="2" t="inlineStr">
        <is>
          <t>CRS Insight IN12018: https://www.congress.gov/crs_external_products/IN/PDF/IN12018/IN12018.10.pdf ; SBA FY25 scorecard release: https://www.sba.gov/article/2026/06/25/sba-releases-fy25-scorecard-small-business-contracting</t>
        </is>
      </c>
      <c r="F140" s="2" t="inlineStr">
        <is>
          <t>CRS IN12018 v.10 (accessed Sep 2026); SBA release Jun 25, 2026 (as-of FY2025)</t>
        </is>
      </c>
      <c r="G140" s="2" t="inlineStr">
        <is>
          <t>The 5% goal covers prime + subcontract dollars. The 4.52% FY2025 figure is reported by industry analyses (not official); flagged as unofficial.</t>
        </is>
      </c>
    </row>
    <row r="141" ht="52" customHeight="1">
      <c r="A141" s="2" t="inlineStr">
        <is>
          <t>Sustainable Public Procurement - Social and Economic Indicators</t>
        </is>
      </c>
      <c r="B141" s="2" t="inlineStr">
        <is>
          <t>Spend targets for women-owned businesses ($ spend)</t>
        </is>
      </c>
      <c r="C141" s="2" t="inlineStr">
        <is>
          <t>N/A</t>
        </is>
      </c>
      <c r="D141" s="2" t="inlineStr">
        <is>
          <t>Not published by official sources</t>
        </is>
      </c>
      <c r="E141" s="2" t="inlineStr">
        <is>
          <t>SBA FY25 scorecard release: https://www.sba.gov/article/2026/06/25/sba-releases-fy25-scorecard-small-business-contracting</t>
        </is>
      </c>
      <c r="F141" s="2" t="inlineStr">
        <is>
          <t>Jun 25, 2026 (as-of FY2025)</t>
        </is>
      </c>
      <c r="G141" s="2" t="inlineStr">
        <is>
          <t>SBA's FY25 release publishes dollar awards for SDB ($75.3B), SDVOSB ($32.5B), 8(a) ($24.3B), and small business overall ($179B) but omits the WOSB dollar figure. No official FY2024/FY2025 WOSB dollar figure found; none was imputed.</t>
        </is>
      </c>
    </row>
    <row r="142" ht="26" customHeight="1">
      <c r="A142" s="2" t="inlineStr">
        <is>
          <t>Sustainable Public Procurement - Social and Economic Indicators</t>
        </is>
      </c>
      <c r="B142" s="2" t="inlineStr">
        <is>
          <t>Spend targets for women-owned businesses (number of priority categories)</t>
        </is>
      </c>
      <c r="C142" s="2" t="inlineStr">
        <is>
          <t>N/A</t>
        </is>
      </c>
      <c r="D142" s="2" t="inlineStr">
        <is>
          <t>5 - the five statutory goaling categories (small business, SDB, WOSB, SDVOSB, HUBZone) under 15 U.S.C. 644(g)(1)(A)</t>
        </is>
      </c>
      <c r="E142" s="2" t="inlineStr">
        <is>
          <t>CRS Insight IN12018: https://www.congress.gov/crs_external_products/IN/PDF/IN12018/IN12018.10.pdf</t>
        </is>
      </c>
      <c r="F142" s="2" t="inlineStr">
        <is>
          <t>Accessed Sep 2026</t>
        </is>
      </c>
      <c r="G142" s="2" t="inlineStr">
        <is>
          <t>The five categories apply government-wide; WOSB is one of them.</t>
        </is>
      </c>
    </row>
    <row r="143" ht="52" customHeight="1">
      <c r="A143" s="2" t="inlineStr">
        <is>
          <t>Sustainable Public Procurement - Social and Economic Indicators</t>
        </is>
      </c>
      <c r="B143" s="2" t="inlineStr">
        <is>
          <t>Spend targets for businesses owned by disadvantaged groups (% spend)</t>
        </is>
      </c>
      <c r="C143" s="2" t="inlineStr">
        <is>
          <t>N/A</t>
        </is>
      </c>
      <c r="D143" s="2" t="inlineStr">
        <is>
          <t>5% of the total value of prime contract and subcontract awards (statutory government-wide goal, 15 U.S.C. 644(g)(1)(A)(iv)); FY2025 actual was 11.6% - goal exceeded</t>
        </is>
      </c>
      <c r="E143" s="2" t="inlineStr">
        <is>
          <t>CRS Insight IN12018: https://www.congress.gov/crs_external_products/IN/PDF/IN12018/IN12018.10.pdf ; CRS Insight IN12514: https://www.congress.gov/crs_external_products/IN/PDF/IN12514/IN12514.2.pdf</t>
        </is>
      </c>
      <c r="F143" s="2" t="inlineStr">
        <is>
          <t>CRS IN12018 v.10 and IN12514 v.2 (accessed Sep 2026); SBA reverted the goal to 5% effective Jan 24, 2025</t>
        </is>
      </c>
      <c r="G143" s="2" t="inlineStr">
        <is>
          <t>OMB memoranda had administratively raised the SDB goal to 11% (FY2022, M-22-03), 12% (FY2023, M-23-01), and 13% (FY2024, M-24-01); for FY2025 SBA returned it to the statutory 5% (CRS IN12514). No official FY2026 goal figure found; FY2025 is the current verified baseline.</t>
        </is>
      </c>
    </row>
    <row r="144" ht="39" customHeight="1">
      <c r="A144" s="2" t="inlineStr">
        <is>
          <t>Sustainable Public Procurement - Social and Economic Indicators</t>
        </is>
      </c>
      <c r="B144" s="2" t="inlineStr">
        <is>
          <t>Spend targets for businesses owned by disadvantaged groups ($ spend)</t>
        </is>
      </c>
      <c r="C144" s="2" t="inlineStr">
        <is>
          <t>N/A</t>
        </is>
      </c>
      <c r="D144" s="2" t="inlineStr">
        <is>
          <t>$75.3 billion (11.6% of prime contract dollars) - FY2025 actual awards to SDBs</t>
        </is>
      </c>
      <c r="E144" s="2" t="inlineStr">
        <is>
          <t>SBA FY25 scorecard release: https://www.sba.gov/article/2026/06/25/sba-releases-fy25-scorecard-small-business-contracting</t>
        </is>
      </c>
      <c r="F144" s="2" t="inlineStr">
        <is>
          <t>Jun 25, 2026 (as-of FY2025)</t>
        </is>
      </c>
      <c r="G144" s="2" t="inlineStr">
        <is>
          <t>Down from 12.27% in FY2024 - the first decrease in 10 years, per SBA. The FY2024 SDB goal was 13% (OMB M-24-01); the FY2025 goal was 5% (statutory), so the goal was exceeded.</t>
        </is>
      </c>
    </row>
    <row r="145" ht="26" customHeight="1">
      <c r="A145" s="2" t="inlineStr">
        <is>
          <t>Sustainable Public Procurement - Social and Economic Indicators</t>
        </is>
      </c>
      <c r="B145" s="2" t="inlineStr">
        <is>
          <t>Spend targets for businesses owned by disadvantaged groups (number of priority categories)</t>
        </is>
      </c>
      <c r="C145" s="2" t="inlineStr">
        <is>
          <t>N/A</t>
        </is>
      </c>
      <c r="D145" s="2" t="inlineStr">
        <is>
          <t>5 - the five statutory goaling categories under 15 U.S.C. 644(g)(1)(A)</t>
        </is>
      </c>
      <c r="E145" s="2" t="inlineStr">
        <is>
          <t>CRS Insight IN12018: https://www.congress.gov/crs_external_products/IN/PDF/IN12018/IN12018.10.pdf</t>
        </is>
      </c>
      <c r="F145" s="2" t="inlineStr">
        <is>
          <t>Accessed Sep 2026</t>
        </is>
      </c>
      <c r="G145" s="2" t="inlineStr">
        <is>
          <t>SDB is one of the five government-wide goaling categories.</t>
        </is>
      </c>
    </row>
    <row r="146" ht="65" customHeight="1">
      <c r="A146" s="2" t="inlineStr">
        <is>
          <t>Sustainable Public Procurement - Social and Economic Indicators</t>
        </is>
      </c>
      <c r="B146" s="2" t="inlineStr">
        <is>
          <t>Requirement for local sourcing of main elements of purchased products or services (Y/N)</t>
        </is>
      </c>
      <c r="C146" s="2" t="inlineStr">
        <is>
          <t>N/A</t>
        </is>
      </c>
      <c r="D146" s="2" t="inlineStr">
        <is>
          <t>Yes - as U.S. domestic-preference rules, not subnational 'local' sourcing: the Buy American Act (41 U.S.C. 8301-8305; FAR Part 25) requires domestic end products/construction materials; the Build America, Buy America Act (Pub. L. 117-58, div. G, sections 70911-70927) imposes domestic-content preferences for federally funded infrastructure</t>
        </is>
      </c>
      <c r="E146" s="2" t="inlineStr">
        <is>
          <t>CRS, 'The Buy American Act and Other Federal Procurement Domestic Content Restrictions': https://www.congress.gov/crs_external_products/R/PDF/R46748/R46748.5.pdf ; 41 U.S.C. 8301: https://uscode.house.gov/view.xhtml?req=(title:41%20section:8301%20edition:prelim)</t>
        </is>
      </c>
      <c r="F146" s="2" t="inlineStr">
        <is>
          <t>CRS R46748 (accessed Sep 2026); BABA enacted Nov 15, 2021</t>
        </is>
      </c>
      <c r="G146" s="2" t="inlineStr">
        <is>
          <t>These are national domestic preferences with exceptions/waivers (e.g., Trade Agreements Act waivers, unreasonable cost); they are not 'local sourcing' in the subnational/community sense.</t>
        </is>
      </c>
    </row>
    <row r="147" ht="104" customHeight="1">
      <c r="A147" s="2" t="inlineStr">
        <is>
          <t>Sustainable Public Procurement - Social and Economic Indicators</t>
        </is>
      </c>
      <c r="B147" s="2" t="inlineStr">
        <is>
          <t>Description of local-sourcing (domestic-preference) requirement</t>
        </is>
      </c>
      <c r="C147" s="2" t="inlineStr">
        <is>
          <t>N/A</t>
        </is>
      </c>
      <c r="D147" s="2" t="inlineStr">
        <is>
          <t>Under FAR Part 25, federal agencies acquiring supplies for use in the United States must purchase 'domestic end products' (manufactured in the U.S. meeting the domestic-content test, 41 U.S.C. 8302) and use domestic construction materials; the Trade Agreements Act (19 U.S.C. 2501-2581) permits waivers for designated-country products. BABA (Pub. L. 117-58, div. G) extends Buy America domestic-content requirements to federally funded infrastructure projects, implemented via OMB guidance (M-22-11, April 18, 2022) and FAR rulemaking</t>
        </is>
      </c>
      <c r="E147" s="2" t="inlineStr">
        <is>
          <t>CRS R46748: https://www.congress.gov/crs_external_products/R/PDF/R46748/R46748.5.pdf ; 41 U.S.C. 8301: https://uscode.house.gov/view.xhtml?req=(title:41%20section:8301%20edition:prelim)</t>
        </is>
      </c>
      <c r="F147" s="2" t="inlineStr">
        <is>
          <t>CRS R46748 (accessed Sep 2026); OMB M-22-11 issued Apr 18, 2022</t>
        </is>
      </c>
      <c r="G147" s="2" t="inlineStr">
        <is>
          <t>Scope is federal acquisitions/infrastructure funded with federal dollars; state/local purchases are generally outside scope unless federally funded (BABA).</t>
        </is>
      </c>
    </row>
    <row r="148" ht="78" customHeight="1">
      <c r="A148" s="2" t="inlineStr">
        <is>
          <t>Sustainable Public Procurement - Social and Economic Indicators</t>
        </is>
      </c>
      <c r="B148" s="2" t="inlineStr">
        <is>
          <t>Disaggregate number of certified contracting officers by gender</t>
        </is>
      </c>
      <c r="C148" s="2" t="inlineStr">
        <is>
          <t>N/A</t>
        </is>
      </c>
      <c r="D148" s="2" t="inlineStr">
        <is>
          <t>Not published by official sources</t>
        </is>
      </c>
      <c r="E148" s="2" t="inlineStr">
        <is>
          <t>FAI FY2007 Annual Workforce Report: https://www.fai.gov/sites/fai/files/FAI-2007-Workforce-Annual-Report.pdf ; FAI 2014 Acquisition Workforce Competency Survey Report: https://www.fai.gov/sites/fai/files/2014-07-03-Acquisition-Workforce-Competency-Survey-Report.pdf</t>
        </is>
      </c>
      <c r="F148" s="2" t="inlineStr">
        <is>
          <t>FY2007 report (2008); 2014 survey report (Jul 3, 2014)</t>
        </is>
      </c>
      <c r="G148" s="2" t="inlineStr">
        <is>
          <t>FAI/OFPP publish no current gender-disaggregated count of certified (FAC-C) contracting officers. Stale official snapshots only: FY2007 report showed ~60% female among GS-1102 contracting personnel; 2014 AWCS reported 51% female among survey respondents (not a headcount). GSA's FY24 Acquisition Workforce Training Fund proposal cites ~40,000 contracting officers (FY2021 data) with no gender breakdown.</t>
        </is>
      </c>
    </row>
    <row r="149" ht="78" customHeight="1">
      <c r="A149" s="2" t="inlineStr">
        <is>
          <t>Sustainable Public Procurement - Social and Economic Indicators</t>
        </is>
      </c>
      <c r="B149" s="2" t="inlineStr">
        <is>
          <t>Public Procurement Law requirement for awards to women-owned businesses</t>
        </is>
      </c>
      <c r="C149" s="2" t="inlineStr">
        <is>
          <t>Yes, https://link.springer.com/article/10.1007/s11187-018-9997-4</t>
        </is>
      </c>
      <c r="D149" s="2" t="inlineStr">
        <is>
          <t>Yes - the Women-Owned Small Business Federal Contract Program (15 U.S.C. 637(m), section 8(m) of the Small Business Act; FAR Subpart 19.15) authorizes set-asides and sole-source awards restricted to certified WOSBs/EDWOSBs; statutory 5% government-wide goal (15 U.S.C. 644(g)(1)(A)(v)). The portal's current Springer academic citation (10.1007/s11187-018-9997-4) is misplaced and should be replaced</t>
        </is>
      </c>
      <c r="E149" s="2" t="inlineStr">
        <is>
          <t>FAR Subpart 19.15: https://www.acquisition.gov/sites/default/files/current/far/compiled_html/subpart_19.15.html ; FAR 6.207: https://www.acquisition.gov/node/61182/printable/print (citing 15 U.S.C. 637(m)); CRS Insight IN12018: https://www.congress.gov/crs_external_products/IN/PDF/IN12018/IN12018.10.pdf</t>
        </is>
      </c>
      <c r="F149" s="2" t="inlineStr">
        <is>
          <t>Current FAR text (accessed 2026-09-29); CRS IN12018 v.10 (accessed Sep 2026)</t>
        </is>
      </c>
      <c r="G149" s="2" t="inlineStr">
        <is>
          <t>WOSB/EDWOSB set-asides apply in NAICS codes where SBA has found WOSBs underrepresented/substantially underrepresented (19.1505). FY2025 WOSB achievement was 4.52% of prime dollars (unofficial figure; SBA release silent) - goal missed; the 5% goal has been met only twice in scorecard history (FY2015, FY2019).</t>
        </is>
      </c>
    </row>
    <row r="150" ht="26" customHeight="1">
      <c r="A150" s="2" t="inlineStr">
        <is>
          <t>Comments</t>
        </is>
      </c>
      <c r="B150" s="2" t="inlineStr">
        <is>
          <t>Public comments</t>
        </is>
      </c>
      <c r="C150" s="2" t="inlineStr">
        <is>
          <t>N/A</t>
        </is>
      </c>
      <c r="D150" s="2" t="inlineStr">
        <is>
          <t>N/A (no change proposed)</t>
        </is>
      </c>
      <c r="E150" s="2" t="inlineStr"/>
      <c r="F150" s="2" t="inlineStr"/>
      <c r="G150" s="2" t="inlineStr">
        <is>
          <t>No public comments have been submitted on this profile. Field may remain blank; no official source applicable.</t>
        </is>
      </c>
    </row>
  </sheetData>
  <autoFilter ref="A1:G15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4" r:id="rId70"/>
    <hyperlink xmlns:r="http://schemas.openxmlformats.org/officeDocument/2006/relationships" ref="E76" r:id="rId71"/>
    <hyperlink xmlns:r="http://schemas.openxmlformats.org/officeDocument/2006/relationships" ref="E78" r:id="rId72"/>
    <hyperlink xmlns:r="http://schemas.openxmlformats.org/officeDocument/2006/relationships" ref="E80" r:id="rId73"/>
    <hyperlink xmlns:r="http://schemas.openxmlformats.org/officeDocument/2006/relationships" ref="E86" r:id="rId74"/>
    <hyperlink xmlns:r="http://schemas.openxmlformats.org/officeDocument/2006/relationships" ref="E88" r:id="rId75"/>
    <hyperlink xmlns:r="http://schemas.openxmlformats.org/officeDocument/2006/relationships" ref="E89" r:id="rId76"/>
    <hyperlink xmlns:r="http://schemas.openxmlformats.org/officeDocument/2006/relationships" ref="E90" r:id="rId77"/>
    <hyperlink xmlns:r="http://schemas.openxmlformats.org/officeDocument/2006/relationships" ref="E92" r:id="rId78"/>
    <hyperlink xmlns:r="http://schemas.openxmlformats.org/officeDocument/2006/relationships" ref="E93" r:id="rId79"/>
    <hyperlink xmlns:r="http://schemas.openxmlformats.org/officeDocument/2006/relationships" ref="E94" r:id="rId80"/>
    <hyperlink xmlns:r="http://schemas.openxmlformats.org/officeDocument/2006/relationships" ref="E95" r:id="rId81"/>
    <hyperlink xmlns:r="http://schemas.openxmlformats.org/officeDocument/2006/relationships" ref="E100" r:id="rId82"/>
    <hyperlink xmlns:r="http://schemas.openxmlformats.org/officeDocument/2006/relationships" ref="E101" r:id="rId83"/>
    <hyperlink xmlns:r="http://schemas.openxmlformats.org/officeDocument/2006/relationships" ref="E103" r:id="rId84"/>
    <hyperlink xmlns:r="http://schemas.openxmlformats.org/officeDocument/2006/relationships" ref="E105" r:id="rId85"/>
    <hyperlink xmlns:r="http://schemas.openxmlformats.org/officeDocument/2006/relationships" ref="E109" r:id="rId86"/>
    <hyperlink xmlns:r="http://schemas.openxmlformats.org/officeDocument/2006/relationships" ref="E110" r:id="rId87"/>
    <hyperlink xmlns:r="http://schemas.openxmlformats.org/officeDocument/2006/relationships" ref="E111" r:id="rId88"/>
    <hyperlink xmlns:r="http://schemas.openxmlformats.org/officeDocument/2006/relationships" ref="E112" r:id="rId89"/>
    <hyperlink xmlns:r="http://schemas.openxmlformats.org/officeDocument/2006/relationships" ref="E113" r:id="rId90"/>
    <hyperlink xmlns:r="http://schemas.openxmlformats.org/officeDocument/2006/relationships" ref="E114" r:id="rId91"/>
    <hyperlink xmlns:r="http://schemas.openxmlformats.org/officeDocument/2006/relationships" ref="E115" r:id="rId92"/>
    <hyperlink xmlns:r="http://schemas.openxmlformats.org/officeDocument/2006/relationships" ref="E116" r:id="rId93"/>
    <hyperlink xmlns:r="http://schemas.openxmlformats.org/officeDocument/2006/relationships" ref="E117" r:id="rId94"/>
    <hyperlink xmlns:r="http://schemas.openxmlformats.org/officeDocument/2006/relationships" ref="E118" r:id="rId95"/>
    <hyperlink xmlns:r="http://schemas.openxmlformats.org/officeDocument/2006/relationships" ref="E119" r:id="rId96"/>
    <hyperlink xmlns:r="http://schemas.openxmlformats.org/officeDocument/2006/relationships" ref="E120" r:id="rId97"/>
    <hyperlink xmlns:r="http://schemas.openxmlformats.org/officeDocument/2006/relationships" ref="E122" r:id="rId98"/>
    <hyperlink xmlns:r="http://schemas.openxmlformats.org/officeDocument/2006/relationships" ref="E123" r:id="rId99"/>
    <hyperlink xmlns:r="http://schemas.openxmlformats.org/officeDocument/2006/relationships" ref="E124" r:id="rId100"/>
    <hyperlink xmlns:r="http://schemas.openxmlformats.org/officeDocument/2006/relationships" ref="E125" r:id="rId101"/>
    <hyperlink xmlns:r="http://schemas.openxmlformats.org/officeDocument/2006/relationships" ref="E126" r:id="rId102"/>
    <hyperlink xmlns:r="http://schemas.openxmlformats.org/officeDocument/2006/relationships" ref="E127" r:id="rId103"/>
    <hyperlink xmlns:r="http://schemas.openxmlformats.org/officeDocument/2006/relationships" ref="E128" r:id="rId104"/>
    <hyperlink xmlns:r="http://schemas.openxmlformats.org/officeDocument/2006/relationships" ref="E129" r:id="rId105"/>
    <hyperlink xmlns:r="http://schemas.openxmlformats.org/officeDocument/2006/relationships" ref="E130" r:id="rId106"/>
    <hyperlink xmlns:r="http://schemas.openxmlformats.org/officeDocument/2006/relationships" ref="E131" r:id="rId107"/>
    <hyperlink xmlns:r="http://schemas.openxmlformats.org/officeDocument/2006/relationships" ref="E132" r:id="rId108"/>
    <hyperlink xmlns:r="http://schemas.openxmlformats.org/officeDocument/2006/relationships" ref="E133" r:id="rId109"/>
    <hyperlink xmlns:r="http://schemas.openxmlformats.org/officeDocument/2006/relationships" ref="E134" r:id="rId110"/>
    <hyperlink xmlns:r="http://schemas.openxmlformats.org/officeDocument/2006/relationships" ref="E135" r:id="rId111"/>
    <hyperlink xmlns:r="http://schemas.openxmlformats.org/officeDocument/2006/relationships" ref="E136" r:id="rId112"/>
    <hyperlink xmlns:r="http://schemas.openxmlformats.org/officeDocument/2006/relationships" ref="E137" r:id="rId113"/>
    <hyperlink xmlns:r="http://schemas.openxmlformats.org/officeDocument/2006/relationships" ref="E138" r:id="rId114"/>
    <hyperlink xmlns:r="http://schemas.openxmlformats.org/officeDocument/2006/relationships" ref="E139" r:id="rId115"/>
    <hyperlink xmlns:r="http://schemas.openxmlformats.org/officeDocument/2006/relationships" ref="E140" r:id="rId116"/>
    <hyperlink xmlns:r="http://schemas.openxmlformats.org/officeDocument/2006/relationships" ref="E141" r:id="rId117"/>
    <hyperlink xmlns:r="http://schemas.openxmlformats.org/officeDocument/2006/relationships" ref="E142" r:id="rId118"/>
    <hyperlink xmlns:r="http://schemas.openxmlformats.org/officeDocument/2006/relationships" ref="E143" r:id="rId119"/>
    <hyperlink xmlns:r="http://schemas.openxmlformats.org/officeDocument/2006/relationships" ref="E144" r:id="rId120"/>
    <hyperlink xmlns:r="http://schemas.openxmlformats.org/officeDocument/2006/relationships" ref="E145" r:id="rId121"/>
    <hyperlink xmlns:r="http://schemas.openxmlformats.org/officeDocument/2006/relationships" ref="E146" r:id="rId122"/>
    <hyperlink xmlns:r="http://schemas.openxmlformats.org/officeDocument/2006/relationships" ref="E147" r:id="rId123"/>
    <hyperlink xmlns:r="http://schemas.openxmlformats.org/officeDocument/2006/relationships" ref="E148" r:id="rId124"/>
    <hyperlink xmlns:r="http://schemas.openxmlformats.org/officeDocument/2006/relationships" ref="E149" r:id="rId1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30" customWidth="1" min="2" max="2"/>
  </cols>
  <sheetData>
    <row r="1" ht="22" customHeight="1">
      <c r="A1" s="3" t="inlineStr">
        <is>
          <t>GPPD United States profile audit - README</t>
        </is>
      </c>
      <c r="B1" s="4" t="inlineStr"/>
    </row>
    <row r="2">
      <c r="A2" s="3" t="inlineStr"/>
      <c r="B2" s="4" t="inlineStr"/>
    </row>
    <row r="3">
      <c r="A3" s="3" t="inlineStr">
        <is>
          <t>Prepared</t>
        </is>
      </c>
      <c r="B3" s="4" t="inlineStr">
        <is>
          <t>29 September 2026</t>
        </is>
      </c>
    </row>
    <row r="4">
      <c r="A4" s="3" t="inlineStr">
        <is>
          <t>Profile reviewed</t>
        </is>
      </c>
      <c r="B4" s="4" t="inlineStr">
        <is>
          <t>https://www.globalpublicprocurementdata.org/gppd/country_profile/US (profile year: 2022)</t>
        </is>
      </c>
    </row>
    <row r="5">
      <c r="A5" s="3" t="inlineStr">
        <is>
          <t>Scope</t>
        </is>
      </c>
      <c r="B5" s="4" t="inlineStr">
        <is>
          <t>One row per profile field that is N/A, missing, or outdated/incorrect. Fields already correct on the portal are not listed.</t>
        </is>
      </c>
    </row>
    <row r="6">
      <c r="A6" s="3" t="inlineStr">
        <is>
          <t>Row count</t>
        </is>
      </c>
      <c r="B6" s="4" t="inlineStr">
        <is>
          <t>149 fields</t>
        </is>
      </c>
    </row>
    <row r="7">
      <c r="A7" s="3" t="inlineStr">
        <is>
          <t>Columns</t>
        </is>
      </c>
      <c r="B7" s="4" t="inlineStr">
        <is>
          <t>Section | Field name | Current value on portal | Proposed value | Source (with URL) | Source date | Notes</t>
        </is>
      </c>
    </row>
    <row r="8">
      <c r="A8" s="3" t="inlineStr">
        <is>
          <t>Source policy</t>
        </is>
      </c>
      <c r="B8" s="4" t="inlineStr">
        <is>
          <t>Official US government/legal sources prioritized: FAR via acquisition.gov, eCFR, U.S. Code (uscode.house.gov), GAO, GSA, SBA, FAI, CRS, EPA, DOL, USDA, OMB/OFPP, WTO, USTR, World Bank WDI/OECD for macro statistics.</t>
        </is>
      </c>
    </row>
    <row r="9">
      <c r="A9" s="3" t="inlineStr">
        <is>
          <t>Fiscal years</t>
        </is>
      </c>
      <c r="B9" s="4" t="inlineStr">
        <is>
          <t>US federal FY2024 = 1 Oct 2023 - 30 Sep 2024 unless noted.</t>
        </is>
      </c>
    </row>
    <row r="10">
      <c r="A10" s="3" t="inlineStr">
        <is>
          <t>Macro data</t>
        </is>
      </c>
      <c r="B10" s="4" t="inlineStr">
        <is>
          <t>World Bank WDI vintage lastupdated 2026-07-13 (data year 2024); re-pull before submitting, as WDI revises quarterly.</t>
        </is>
      </c>
    </row>
    <row r="11">
      <c r="A11" s="3" t="inlineStr">
        <is>
          <t>Key caveats</t>
        </is>
      </c>
      <c r="B11" s="4" t="inlineStr">
        <is>
          <t>1) EO 14057 (Federal Sustainability Plan) revoked 20 Jan 2025 (EO 14154) - statutory FAR Part 23 programs remain in force. 2) FAR overhaul (2025-2026, EO 14275) may renumber FAR sections; canonical acquisition.gov text verified 29 Sep 2026. 3) US procurement scope is federal-only in most metrics; OECD procurement/GDP (9.9%) covers general government (federal+state+local). 4) 'Competed' is the US equivalent of 'open'; 'not competed' of 'direct'; IDVs of 'framework agreements'; 'best value' of MEAT/VfM. 5) 'Not published by official sources' rows are verified gaps, not missing research.</t>
        </is>
      </c>
    </row>
    <row r="12">
      <c r="A12" s="3" t="inlineStr">
        <is>
          <t>Contact</t>
        </is>
      </c>
      <c r="B12" s="4" t="inlineStr">
        <is>
          <t>Register on the portal to submit; no registration data is embedded in this file.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2026-09-29T20:39:39+00:00Z</dcterms:created>
  <dcterms:modified xmlns:dcterms="http://purl.org/dc/terms/" xmlns:xsi="http://www.w3.org/2001/XMLSchema-instance" xsi:type="dcterms:W3CDTF">2026-09-29T20:39:39+00:00Z</dcterms:modified>
</cp:coreProperties>
</file>